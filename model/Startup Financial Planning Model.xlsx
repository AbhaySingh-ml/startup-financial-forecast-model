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_drills\startup-financial-forecast-model\model\"/>
    </mc:Choice>
  </mc:AlternateContent>
  <xr:revisionPtr revIDLastSave="0" documentId="13_ncr:1_{0F46C24F-3BCA-4370-A6A5-9D10984012EF}" xr6:coauthVersionLast="47" xr6:coauthVersionMax="47" xr10:uidLastSave="{00000000-0000-0000-0000-000000000000}"/>
  <bookViews>
    <workbookView xWindow="-108" yWindow="-108" windowWidth="23256" windowHeight="12456" firstSheet="3" activeTab="8" xr2:uid="{69869769-81DF-449A-8B76-6252E5EC01DD}"/>
  </bookViews>
  <sheets>
    <sheet name="Assumptions" sheetId="1" r:id="rId1"/>
    <sheet name="Customer_Model" sheetId="8" r:id="rId2"/>
    <sheet name="Revenue_Model" sheetId="2" r:id="rId3"/>
    <sheet name="Cost_Model" sheetId="3" r:id="rId4"/>
    <sheet name="Model_Calculations" sheetId="7" r:id="rId5"/>
    <sheet name="Unit_Economics" sheetId="9" r:id="rId6"/>
    <sheet name="Profit_Loss" sheetId="4" r:id="rId7"/>
    <sheet name="Cash_Flow" sheetId="10" r:id="rId8"/>
    <sheet name="Sensitivity_Analysis" sheetId="5" r:id="rId9"/>
    <sheet name="Dashboard" sheetId="6" r:id="rId10"/>
  </sheets>
  <definedNames>
    <definedName name="Price">Assumptions!$B$7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9" l="1"/>
  <c r="C7" i="9" s="1"/>
  <c r="C4" i="9"/>
  <c r="B3" i="6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5" i="2"/>
  <c r="B4" i="2"/>
  <c r="B5" i="8"/>
  <c r="B4" i="8"/>
  <c r="D4" i="8" s="1"/>
  <c r="A6" i="8"/>
  <c r="A5" i="8"/>
  <c r="A7" i="8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4" i="8"/>
  <c r="E3" i="5"/>
  <c r="E4" i="5"/>
  <c r="E5" i="5"/>
  <c r="E6" i="5"/>
  <c r="E7" i="5"/>
  <c r="E2" i="5"/>
  <c r="B3" i="5"/>
  <c r="B4" i="5"/>
  <c r="B5" i="5"/>
  <c r="B6" i="5"/>
  <c r="B7" i="5"/>
  <c r="B2" i="5"/>
  <c r="E3" i="10"/>
  <c r="D3" i="10"/>
  <c r="F3" i="4"/>
  <c r="E3" i="4"/>
  <c r="D3" i="4"/>
  <c r="C3" i="4"/>
  <c r="B3" i="4"/>
  <c r="C6" i="9"/>
  <c r="C3" i="9"/>
  <c r="C3" i="10"/>
  <c r="B3" i="10"/>
  <c r="E3" i="8"/>
  <c r="D5" i="8"/>
  <c r="D3" i="8"/>
  <c r="C5" i="8"/>
  <c r="E5" i="8" s="1"/>
  <c r="B6" i="8" s="1"/>
  <c r="C3" i="8"/>
  <c r="B3" i="8"/>
  <c r="A3" i="8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G3" i="7"/>
  <c r="F3" i="7"/>
  <c r="E3" i="7"/>
  <c r="D3" i="7"/>
  <c r="C3" i="7"/>
  <c r="B3" i="7"/>
  <c r="F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" i="3"/>
  <c r="C3" i="3"/>
  <c r="B3" i="3"/>
  <c r="A36" i="3"/>
  <c r="A37" i="3"/>
  <c r="A38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" i="3"/>
  <c r="C3" i="2"/>
  <c r="B3" i="2"/>
  <c r="B5" i="7" l="1"/>
  <c r="B5" i="10"/>
  <c r="B5" i="4"/>
  <c r="B4" i="7"/>
  <c r="B4" i="10"/>
  <c r="B4" i="4"/>
  <c r="B5" i="3"/>
  <c r="C5" i="3" s="1"/>
  <c r="F5" i="3" s="1"/>
  <c r="B4" i="3"/>
  <c r="C4" i="3" s="1"/>
  <c r="F4" i="3" s="1"/>
  <c r="E6" i="8"/>
  <c r="B7" i="8" s="1"/>
  <c r="D6" i="8"/>
  <c r="C6" i="8"/>
  <c r="C4" i="8"/>
  <c r="E4" i="8" s="1"/>
  <c r="D4" i="4" l="1"/>
  <c r="B6" i="3"/>
  <c r="C6" i="3" s="1"/>
  <c r="F6" i="3" s="1"/>
  <c r="C4" i="4"/>
  <c r="C4" i="7"/>
  <c r="C4" i="10"/>
  <c r="D4" i="10" s="1"/>
  <c r="E4" i="10" s="1"/>
  <c r="C5" i="4"/>
  <c r="C5" i="7"/>
  <c r="C5" i="10"/>
  <c r="D4" i="7"/>
  <c r="G4" i="7" s="1"/>
  <c r="D5" i="7"/>
  <c r="D5" i="4"/>
  <c r="D5" i="10"/>
  <c r="E7" i="8"/>
  <c r="B8" i="8" s="1"/>
  <c r="C7" i="8"/>
  <c r="D7" i="8"/>
  <c r="G5" i="7" l="1"/>
  <c r="E5" i="10"/>
  <c r="B6" i="10"/>
  <c r="B6" i="4"/>
  <c r="B6" i="7"/>
  <c r="C6" i="7"/>
  <c r="C6" i="10"/>
  <c r="C6" i="4"/>
  <c r="B7" i="3"/>
  <c r="C7" i="3" s="1"/>
  <c r="F7" i="3" s="1"/>
  <c r="E5" i="4"/>
  <c r="F5" i="4"/>
  <c r="E4" i="4"/>
  <c r="F4" i="4" s="1"/>
  <c r="C8" i="8"/>
  <c r="D8" i="8"/>
  <c r="E8" i="8" s="1"/>
  <c r="B9" i="8" s="1"/>
  <c r="B7" i="10" l="1"/>
  <c r="B7" i="4"/>
  <c r="B7" i="7"/>
  <c r="C7" i="7"/>
  <c r="C7" i="4"/>
  <c r="C7" i="10"/>
  <c r="B8" i="3"/>
  <c r="C8" i="3" s="1"/>
  <c r="F8" i="3" s="1"/>
  <c r="D6" i="7"/>
  <c r="G6" i="7" s="1"/>
  <c r="D6" i="4"/>
  <c r="D6" i="10"/>
  <c r="E6" i="10" s="1"/>
  <c r="E9" i="8"/>
  <c r="B10" i="8" s="1"/>
  <c r="D9" i="8"/>
  <c r="C9" i="8"/>
  <c r="B9" i="3" l="1"/>
  <c r="C9" i="3" s="1"/>
  <c r="F9" i="3" s="1"/>
  <c r="C8" i="10"/>
  <c r="C8" i="4"/>
  <c r="C8" i="7"/>
  <c r="D7" i="4"/>
  <c r="E6" i="4"/>
  <c r="F6" i="4"/>
  <c r="B8" i="4"/>
  <c r="B8" i="10"/>
  <c r="B8" i="7"/>
  <c r="D7" i="7"/>
  <c r="G7" i="7" s="1"/>
  <c r="D7" i="10"/>
  <c r="E7" i="10" s="1"/>
  <c r="D10" i="8"/>
  <c r="C10" i="8"/>
  <c r="E10" i="8" s="1"/>
  <c r="B11" i="8" s="1"/>
  <c r="D8" i="10" l="1"/>
  <c r="E8" i="10" s="1"/>
  <c r="D8" i="4"/>
  <c r="E8" i="4" s="1"/>
  <c r="F8" i="4" s="1"/>
  <c r="D8" i="7"/>
  <c r="G8" i="7" s="1"/>
  <c r="B10" i="3"/>
  <c r="C10" i="3" s="1"/>
  <c r="F10" i="3" s="1"/>
  <c r="E7" i="4"/>
  <c r="F7" i="4" s="1"/>
  <c r="B9" i="4"/>
  <c r="B9" i="10"/>
  <c r="B9" i="7"/>
  <c r="C9" i="10"/>
  <c r="C9" i="4"/>
  <c r="C9" i="7"/>
  <c r="D11" i="8"/>
  <c r="C11" i="8"/>
  <c r="E11" i="8" s="1"/>
  <c r="B12" i="8" s="1"/>
  <c r="D9" i="7" l="1"/>
  <c r="G9" i="7" s="1"/>
  <c r="D9" i="4"/>
  <c r="B11" i="3"/>
  <c r="C11" i="3" s="1"/>
  <c r="F11" i="3" s="1"/>
  <c r="B10" i="4"/>
  <c r="B10" i="7"/>
  <c r="B10" i="10"/>
  <c r="D9" i="10"/>
  <c r="E9" i="10" s="1"/>
  <c r="C10" i="10"/>
  <c r="C10" i="4"/>
  <c r="C10" i="7"/>
  <c r="D12" i="8"/>
  <c r="E12" i="8" s="1"/>
  <c r="B13" i="8" s="1"/>
  <c r="C12" i="8"/>
  <c r="D10" i="7" l="1"/>
  <c r="G10" i="7" s="1"/>
  <c r="D10" i="4"/>
  <c r="E9" i="4"/>
  <c r="F9" i="4" s="1"/>
  <c r="D10" i="10"/>
  <c r="E10" i="10" s="1"/>
  <c r="C11" i="10"/>
  <c r="C11" i="4"/>
  <c r="C11" i="7"/>
  <c r="B11" i="10"/>
  <c r="D11" i="10" s="1"/>
  <c r="B11" i="7"/>
  <c r="D11" i="7" s="1"/>
  <c r="B11" i="4"/>
  <c r="D11" i="4" s="1"/>
  <c r="B12" i="3"/>
  <c r="C12" i="3" s="1"/>
  <c r="F12" i="3" s="1"/>
  <c r="D13" i="8"/>
  <c r="C13" i="8"/>
  <c r="E13" i="8" s="1"/>
  <c r="B14" i="8" s="1"/>
  <c r="B13" i="3" l="1"/>
  <c r="C13" i="3" s="1"/>
  <c r="F13" i="3" s="1"/>
  <c r="E10" i="4"/>
  <c r="F10" i="4" s="1"/>
  <c r="C12" i="4"/>
  <c r="C12" i="10"/>
  <c r="C12" i="7"/>
  <c r="B12" i="10"/>
  <c r="D12" i="10" s="1"/>
  <c r="B12" i="7"/>
  <c r="D12" i="7" s="1"/>
  <c r="B12" i="4"/>
  <c r="E11" i="4"/>
  <c r="F11" i="4"/>
  <c r="E11" i="10"/>
  <c r="E12" i="10" s="1"/>
  <c r="G11" i="7"/>
  <c r="C14" i="8"/>
  <c r="E14" i="8" s="1"/>
  <c r="B15" i="8" s="1"/>
  <c r="D14" i="8"/>
  <c r="D12" i="4" l="1"/>
  <c r="E12" i="4" s="1"/>
  <c r="G12" i="7"/>
  <c r="B13" i="10"/>
  <c r="B13" i="7"/>
  <c r="B13" i="4"/>
  <c r="C13" i="4"/>
  <c r="C13" i="7"/>
  <c r="C13" i="10"/>
  <c r="B14" i="3"/>
  <c r="C14" i="3" s="1"/>
  <c r="F14" i="3" s="1"/>
  <c r="C15" i="8"/>
  <c r="D15" i="8"/>
  <c r="E15" i="8" s="1"/>
  <c r="B16" i="8" s="1"/>
  <c r="F12" i="4" l="1"/>
  <c r="D13" i="7"/>
  <c r="B14" i="7"/>
  <c r="B14" i="10"/>
  <c r="B14" i="4"/>
  <c r="D13" i="10"/>
  <c r="E13" i="10" s="1"/>
  <c r="C14" i="4"/>
  <c r="C14" i="10"/>
  <c r="C14" i="7"/>
  <c r="B15" i="3"/>
  <c r="C15" i="3" s="1"/>
  <c r="F15" i="3" s="1"/>
  <c r="D13" i="4"/>
  <c r="G13" i="7"/>
  <c r="C16" i="8"/>
  <c r="D16" i="8"/>
  <c r="E16" i="8" s="1"/>
  <c r="B17" i="8" s="1"/>
  <c r="B16" i="3" l="1"/>
  <c r="C16" i="3" s="1"/>
  <c r="F16" i="3" s="1"/>
  <c r="D14" i="7"/>
  <c r="G14" i="7" s="1"/>
  <c r="E13" i="4"/>
  <c r="F13" i="4" s="1"/>
  <c r="C15" i="10"/>
  <c r="C15" i="7"/>
  <c r="C15" i="4"/>
  <c r="B15" i="4"/>
  <c r="D15" i="4" s="1"/>
  <c r="B15" i="7"/>
  <c r="D15" i="7" s="1"/>
  <c r="B15" i="10"/>
  <c r="D15" i="10" s="1"/>
  <c r="D14" i="4"/>
  <c r="D14" i="10"/>
  <c r="E14" i="10" s="1"/>
  <c r="E15" i="10" s="1"/>
  <c r="C17" i="8"/>
  <c r="D17" i="8"/>
  <c r="E17" i="8" s="1"/>
  <c r="B18" i="8" s="1"/>
  <c r="G15" i="7" l="1"/>
  <c r="B16" i="7"/>
  <c r="B16" i="10"/>
  <c r="B16" i="4"/>
  <c r="B17" i="3"/>
  <c r="C17" i="3" s="1"/>
  <c r="F17" i="3" s="1"/>
  <c r="E14" i="4"/>
  <c r="F14" i="4"/>
  <c r="E15" i="4"/>
  <c r="F15" i="4" s="1"/>
  <c r="C16" i="10"/>
  <c r="C16" i="7"/>
  <c r="C16" i="4"/>
  <c r="D18" i="8"/>
  <c r="C18" i="8"/>
  <c r="E18" i="8"/>
  <c r="B19" i="8" s="1"/>
  <c r="C17" i="10" l="1"/>
  <c r="C17" i="7"/>
  <c r="C17" i="4"/>
  <c r="B18" i="3"/>
  <c r="C18" i="3" s="1"/>
  <c r="F18" i="3" s="1"/>
  <c r="B17" i="4"/>
  <c r="D17" i="4" s="1"/>
  <c r="B17" i="7"/>
  <c r="D17" i="7" s="1"/>
  <c r="B17" i="10"/>
  <c r="D17" i="10" s="1"/>
  <c r="D16" i="4"/>
  <c r="D16" i="10"/>
  <c r="E16" i="10" s="1"/>
  <c r="E17" i="10" s="1"/>
  <c r="D16" i="7"/>
  <c r="G16" i="7" s="1"/>
  <c r="D19" i="8"/>
  <c r="C19" i="8"/>
  <c r="E19" i="8"/>
  <c r="B20" i="8" s="1"/>
  <c r="G17" i="7" l="1"/>
  <c r="E17" i="4"/>
  <c r="F17" i="4" s="1"/>
  <c r="E16" i="4"/>
  <c r="F16" i="4" s="1"/>
  <c r="C18" i="7"/>
  <c r="C18" i="10"/>
  <c r="C18" i="4"/>
  <c r="B18" i="10"/>
  <c r="D18" i="10" s="1"/>
  <c r="E18" i="10" s="1"/>
  <c r="B18" i="4"/>
  <c r="D18" i="4" s="1"/>
  <c r="B18" i="7"/>
  <c r="D18" i="7" s="1"/>
  <c r="B19" i="3"/>
  <c r="C19" i="3" s="1"/>
  <c r="F19" i="3" s="1"/>
  <c r="D20" i="8"/>
  <c r="C20" i="8"/>
  <c r="E20" i="8" s="1"/>
  <c r="B21" i="8" s="1"/>
  <c r="G18" i="7" l="1"/>
  <c r="B19" i="7"/>
  <c r="B19" i="4"/>
  <c r="B19" i="10"/>
  <c r="C19" i="4"/>
  <c r="C19" i="7"/>
  <c r="C19" i="10"/>
  <c r="B20" i="3"/>
  <c r="C20" i="3" s="1"/>
  <c r="F20" i="3" s="1"/>
  <c r="E18" i="4"/>
  <c r="F18" i="4" s="1"/>
  <c r="D21" i="8"/>
  <c r="C21" i="8"/>
  <c r="E21" i="8" s="1"/>
  <c r="B22" i="8" s="1"/>
  <c r="D19" i="7" l="1"/>
  <c r="G19" i="7" s="1"/>
  <c r="B20" i="7"/>
  <c r="B20" i="10"/>
  <c r="B20" i="4"/>
  <c r="C20" i="7"/>
  <c r="C20" i="4"/>
  <c r="C20" i="10"/>
  <c r="B21" i="3"/>
  <c r="C21" i="3" s="1"/>
  <c r="F21" i="3" s="1"/>
  <c r="D19" i="10"/>
  <c r="E19" i="10" s="1"/>
  <c r="D19" i="4"/>
  <c r="D22" i="8"/>
  <c r="C22" i="8"/>
  <c r="E22" i="8" s="1"/>
  <c r="B23" i="8" s="1"/>
  <c r="D20" i="4" l="1"/>
  <c r="E19" i="4"/>
  <c r="F19" i="4" s="1"/>
  <c r="B21" i="7"/>
  <c r="B21" i="10"/>
  <c r="B21" i="4"/>
  <c r="B22" i="3"/>
  <c r="C22" i="3" s="1"/>
  <c r="F22" i="3" s="1"/>
  <c r="E20" i="4"/>
  <c r="F20" i="4" s="1"/>
  <c r="C21" i="4"/>
  <c r="C21" i="7"/>
  <c r="C21" i="10"/>
  <c r="D20" i="10"/>
  <c r="E20" i="10" s="1"/>
  <c r="D20" i="7"/>
  <c r="G20" i="7" s="1"/>
  <c r="C23" i="8"/>
  <c r="E23" i="8" s="1"/>
  <c r="B24" i="8" s="1"/>
  <c r="D23" i="8"/>
  <c r="B22" i="10" l="1"/>
  <c r="B22" i="4"/>
  <c r="B22" i="7"/>
  <c r="D21" i="10"/>
  <c r="E21" i="10" s="1"/>
  <c r="C22" i="7"/>
  <c r="C22" i="10"/>
  <c r="C22" i="4"/>
  <c r="B23" i="3"/>
  <c r="C23" i="3" s="1"/>
  <c r="F23" i="3" s="1"/>
  <c r="D21" i="4"/>
  <c r="D21" i="7"/>
  <c r="G21" i="7" s="1"/>
  <c r="C24" i="8"/>
  <c r="E24" i="8" s="1"/>
  <c r="B25" i="8" s="1"/>
  <c r="D24" i="8"/>
  <c r="C23" i="7" l="1"/>
  <c r="C23" i="4"/>
  <c r="C23" i="10"/>
  <c r="E21" i="4"/>
  <c r="F21" i="4" s="1"/>
  <c r="B23" i="10"/>
  <c r="D23" i="10" s="1"/>
  <c r="B23" i="4"/>
  <c r="D23" i="4" s="1"/>
  <c r="B23" i="7"/>
  <c r="D23" i="7" s="1"/>
  <c r="B24" i="3"/>
  <c r="C24" i="3" s="1"/>
  <c r="F24" i="3" s="1"/>
  <c r="D22" i="7"/>
  <c r="G22" i="7" s="1"/>
  <c r="G23" i="7" s="1"/>
  <c r="D22" i="4"/>
  <c r="D22" i="10"/>
  <c r="E22" i="10" s="1"/>
  <c r="E23" i="10" s="1"/>
  <c r="D25" i="8"/>
  <c r="C25" i="8"/>
  <c r="E25" i="8" s="1"/>
  <c r="B26" i="8" s="1"/>
  <c r="C24" i="10" l="1"/>
  <c r="C24" i="7"/>
  <c r="C24" i="4"/>
  <c r="E23" i="4"/>
  <c r="F23" i="4"/>
  <c r="E22" i="4"/>
  <c r="F22" i="4" s="1"/>
  <c r="B24" i="4"/>
  <c r="D24" i="4" s="1"/>
  <c r="B24" i="10"/>
  <c r="D24" i="10" s="1"/>
  <c r="E24" i="10" s="1"/>
  <c r="B24" i="7"/>
  <c r="D24" i="7" s="1"/>
  <c r="G24" i="7" s="1"/>
  <c r="B25" i="3"/>
  <c r="C25" i="3" s="1"/>
  <c r="F25" i="3" s="1"/>
  <c r="D26" i="8"/>
  <c r="C26" i="8"/>
  <c r="E26" i="8" s="1"/>
  <c r="B27" i="8" s="1"/>
  <c r="B25" i="4" l="1"/>
  <c r="B25" i="10"/>
  <c r="B25" i="7"/>
  <c r="B26" i="3"/>
  <c r="C26" i="3" s="1"/>
  <c r="F26" i="3" s="1"/>
  <c r="C25" i="10"/>
  <c r="C25" i="4"/>
  <c r="C25" i="7"/>
  <c r="E24" i="4"/>
  <c r="F24" i="4" s="1"/>
  <c r="D27" i="8"/>
  <c r="C27" i="8"/>
  <c r="E27" i="8" s="1"/>
  <c r="B28" i="8" s="1"/>
  <c r="C26" i="10" l="1"/>
  <c r="C26" i="4"/>
  <c r="C26" i="7"/>
  <c r="D25" i="7"/>
  <c r="G25" i="7" s="1"/>
  <c r="B26" i="4"/>
  <c r="D26" i="4" s="1"/>
  <c r="B26" i="7"/>
  <c r="D26" i="7" s="1"/>
  <c r="B26" i="10"/>
  <c r="D26" i="10" s="1"/>
  <c r="B27" i="3"/>
  <c r="C27" i="3" s="1"/>
  <c r="F27" i="3" s="1"/>
  <c r="D25" i="10"/>
  <c r="E25" i="10" s="1"/>
  <c r="E26" i="10" s="1"/>
  <c r="D25" i="4"/>
  <c r="D28" i="8"/>
  <c r="C28" i="8"/>
  <c r="E28" i="8" s="1"/>
  <c r="B29" i="8" s="1"/>
  <c r="E26" i="4" l="1"/>
  <c r="F26" i="4" s="1"/>
  <c r="E25" i="4"/>
  <c r="F25" i="4" s="1"/>
  <c r="C27" i="10"/>
  <c r="C27" i="4"/>
  <c r="C27" i="7"/>
  <c r="B27" i="10"/>
  <c r="D27" i="10" s="1"/>
  <c r="E27" i="10" s="1"/>
  <c r="B27" i="7"/>
  <c r="D27" i="7" s="1"/>
  <c r="B27" i="4"/>
  <c r="D27" i="4" s="1"/>
  <c r="B28" i="3"/>
  <c r="C28" i="3" s="1"/>
  <c r="F28" i="3" s="1"/>
  <c r="G26" i="7"/>
  <c r="G27" i="7" s="1"/>
  <c r="D29" i="8"/>
  <c r="C29" i="8"/>
  <c r="E29" i="8" s="1"/>
  <c r="B30" i="8" s="1"/>
  <c r="B29" i="3" l="1"/>
  <c r="C29" i="3" s="1"/>
  <c r="F29" i="3" s="1"/>
  <c r="C28" i="4"/>
  <c r="C28" i="10"/>
  <c r="C28" i="7"/>
  <c r="B28" i="10"/>
  <c r="D28" i="10" s="1"/>
  <c r="E28" i="10" s="1"/>
  <c r="B28" i="7"/>
  <c r="D28" i="7" s="1"/>
  <c r="G28" i="7" s="1"/>
  <c r="B28" i="4"/>
  <c r="D28" i="4" s="1"/>
  <c r="E27" i="4"/>
  <c r="F27" i="4"/>
  <c r="D30" i="8"/>
  <c r="C30" i="8"/>
  <c r="E30" i="8" s="1"/>
  <c r="B31" i="8" s="1"/>
  <c r="E28" i="4" l="1"/>
  <c r="F28" i="4"/>
  <c r="B30" i="3"/>
  <c r="C30" i="3" s="1"/>
  <c r="F30" i="3" s="1"/>
  <c r="C29" i="4"/>
  <c r="C29" i="7"/>
  <c r="C29" i="10"/>
  <c r="B29" i="10"/>
  <c r="D29" i="10" s="1"/>
  <c r="E29" i="10" s="1"/>
  <c r="B29" i="7"/>
  <c r="D29" i="7" s="1"/>
  <c r="G29" i="7" s="1"/>
  <c r="B29" i="4"/>
  <c r="D29" i="4" s="1"/>
  <c r="C31" i="8"/>
  <c r="D31" i="8"/>
  <c r="E31" i="8" s="1"/>
  <c r="B32" i="8" s="1"/>
  <c r="E29" i="4" l="1"/>
  <c r="F29" i="4"/>
  <c r="C30" i="4"/>
  <c r="C30" i="10"/>
  <c r="C30" i="7"/>
  <c r="B30" i="7"/>
  <c r="B30" i="4"/>
  <c r="D30" i="4" s="1"/>
  <c r="B30" i="10"/>
  <c r="D30" i="10" s="1"/>
  <c r="E30" i="10" s="1"/>
  <c r="B31" i="3"/>
  <c r="C31" i="3" s="1"/>
  <c r="F31" i="3" s="1"/>
  <c r="C32" i="8"/>
  <c r="D32" i="8"/>
  <c r="E32" i="8" s="1"/>
  <c r="B33" i="8" s="1"/>
  <c r="D30" i="7" l="1"/>
  <c r="G30" i="7" s="1"/>
  <c r="B32" i="3"/>
  <c r="C32" i="3" s="1"/>
  <c r="F32" i="3" s="1"/>
  <c r="E30" i="4"/>
  <c r="F30" i="4" s="1"/>
  <c r="C31" i="10"/>
  <c r="C31" i="7"/>
  <c r="C31" i="4"/>
  <c r="B31" i="4"/>
  <c r="D31" i="4" s="1"/>
  <c r="B31" i="7"/>
  <c r="D31" i="7" s="1"/>
  <c r="G31" i="7" s="1"/>
  <c r="B31" i="10"/>
  <c r="D31" i="10" s="1"/>
  <c r="E31" i="10" s="1"/>
  <c r="C33" i="8"/>
  <c r="D33" i="8"/>
  <c r="E33" i="8" s="1"/>
  <c r="B34" i="8" s="1"/>
  <c r="E31" i="4" l="1"/>
  <c r="F31" i="4" s="1"/>
  <c r="B32" i="7"/>
  <c r="B32" i="4"/>
  <c r="B32" i="10"/>
  <c r="C32" i="7"/>
  <c r="C32" i="10"/>
  <c r="C32" i="4"/>
  <c r="B33" i="3"/>
  <c r="C33" i="3" s="1"/>
  <c r="F33" i="3" s="1"/>
  <c r="D34" i="8"/>
  <c r="C34" i="8"/>
  <c r="E34" i="8"/>
  <c r="B35" i="8" s="1"/>
  <c r="B33" i="4" l="1"/>
  <c r="B33" i="7"/>
  <c r="B33" i="10"/>
  <c r="C33" i="7"/>
  <c r="C33" i="10"/>
  <c r="C33" i="4"/>
  <c r="B34" i="3"/>
  <c r="C34" i="3" s="1"/>
  <c r="F34" i="3" s="1"/>
  <c r="D32" i="10"/>
  <c r="E32" i="10" s="1"/>
  <c r="D32" i="4"/>
  <c r="D32" i="7"/>
  <c r="G32" i="7" s="1"/>
  <c r="D35" i="8"/>
  <c r="C35" i="8"/>
  <c r="E35" i="8"/>
  <c r="B36" i="8" s="1"/>
  <c r="C34" i="7" l="1"/>
  <c r="C34" i="4"/>
  <c r="C34" i="10"/>
  <c r="B34" i="10"/>
  <c r="B34" i="4"/>
  <c r="D34" i="4" s="1"/>
  <c r="B34" i="7"/>
  <c r="D34" i="7" s="1"/>
  <c r="D33" i="7"/>
  <c r="G33" i="7" s="1"/>
  <c r="E32" i="4"/>
  <c r="F32" i="4" s="1"/>
  <c r="B35" i="3"/>
  <c r="C35" i="3" s="1"/>
  <c r="F35" i="3" s="1"/>
  <c r="D33" i="10"/>
  <c r="E33" i="10" s="1"/>
  <c r="D33" i="4"/>
  <c r="D36" i="8"/>
  <c r="C36" i="8"/>
  <c r="E36" i="8"/>
  <c r="B37" i="8" s="1"/>
  <c r="G34" i="7" l="1"/>
  <c r="B36" i="3"/>
  <c r="C36" i="3" s="1"/>
  <c r="F36" i="3" s="1"/>
  <c r="E33" i="4"/>
  <c r="F33" i="4" s="1"/>
  <c r="C35" i="4"/>
  <c r="C35" i="7"/>
  <c r="C35" i="10"/>
  <c r="B35" i="7"/>
  <c r="D35" i="7" s="1"/>
  <c r="G35" i="7" s="1"/>
  <c r="B35" i="4"/>
  <c r="D35" i="4" s="1"/>
  <c r="B35" i="10"/>
  <c r="D35" i="10" s="1"/>
  <c r="E34" i="4"/>
  <c r="F34" i="4"/>
  <c r="D34" i="10"/>
  <c r="E34" i="10" s="1"/>
  <c r="D37" i="8"/>
  <c r="C37" i="8"/>
  <c r="E37" i="8" s="1"/>
  <c r="B38" i="8" s="1"/>
  <c r="E35" i="10" l="1"/>
  <c r="E35" i="4"/>
  <c r="F35" i="4" s="1"/>
  <c r="B36" i="7"/>
  <c r="B36" i="10"/>
  <c r="B36" i="4"/>
  <c r="C36" i="7"/>
  <c r="C36" i="10"/>
  <c r="C36" i="4"/>
  <c r="B37" i="3"/>
  <c r="C37" i="3" s="1"/>
  <c r="F37" i="3" s="1"/>
  <c r="D38" i="8"/>
  <c r="C38" i="8"/>
  <c r="E38" i="8" s="1"/>
  <c r="B5" i="6" s="1"/>
  <c r="B38" i="3" l="1"/>
  <c r="C38" i="3" s="1"/>
  <c r="F38" i="3" s="1"/>
  <c r="D36" i="10"/>
  <c r="E36" i="10" s="1"/>
  <c r="B37" i="7"/>
  <c r="B37" i="10"/>
  <c r="B37" i="4"/>
  <c r="C37" i="4"/>
  <c r="C37" i="7"/>
  <c r="C37" i="10"/>
  <c r="D36" i="4"/>
  <c r="D36" i="7"/>
  <c r="G36" i="7" s="1"/>
  <c r="E36" i="4" l="1"/>
  <c r="F36" i="4" s="1"/>
  <c r="D37" i="7"/>
  <c r="G37" i="7" s="1"/>
  <c r="B38" i="10"/>
  <c r="B38" i="4"/>
  <c r="B38" i="7"/>
  <c r="D37" i="4"/>
  <c r="D37" i="10"/>
  <c r="E37" i="10" s="1"/>
  <c r="C38" i="7"/>
  <c r="C38" i="10"/>
  <c r="C38" i="4"/>
  <c r="E37" i="4" l="1"/>
  <c r="F37" i="4" s="1"/>
  <c r="B4" i="6" s="1"/>
  <c r="D38" i="7"/>
  <c r="G38" i="7" s="1"/>
  <c r="D38" i="4"/>
  <c r="D38" i="10"/>
  <c r="E38" i="10" s="1"/>
  <c r="B6" i="6" s="1"/>
  <c r="E38" i="4" l="1"/>
  <c r="F38" i="4" s="1"/>
</calcChain>
</file>

<file path=xl/sharedStrings.xml><?xml version="1.0" encoding="utf-8"?>
<sst xmlns="http://schemas.openxmlformats.org/spreadsheetml/2006/main" count="84" uniqueCount="59">
  <si>
    <t>Parameter</t>
  </si>
  <si>
    <t>Value</t>
  </si>
  <si>
    <t>Initial Customers</t>
  </si>
  <si>
    <t>Monthly Growth Rate</t>
  </si>
  <si>
    <t>Variable Cost per Customer</t>
  </si>
  <si>
    <t>Fixed Monthly Cost</t>
  </si>
  <si>
    <t>Marketing Cost</t>
  </si>
  <si>
    <t>Tax Rate</t>
  </si>
  <si>
    <t>Forecast Period (Months)</t>
  </si>
  <si>
    <t>Price per Customer</t>
  </si>
  <si>
    <t>Month</t>
  </si>
  <si>
    <t>Customers</t>
  </si>
  <si>
    <t>Revenue</t>
  </si>
  <si>
    <t xml:space="preserve">Unit </t>
  </si>
  <si>
    <t>%</t>
  </si>
  <si>
    <t>₹</t>
  </si>
  <si>
    <t>Months</t>
  </si>
  <si>
    <t>Variable Cost</t>
  </si>
  <si>
    <t>Fixed Cost</t>
  </si>
  <si>
    <t>Total Cost</t>
  </si>
  <si>
    <t>Profit Before Tax</t>
  </si>
  <si>
    <t>Tax</t>
  </si>
  <si>
    <t>Net Profit</t>
  </si>
  <si>
    <t>Gross Profit</t>
  </si>
  <si>
    <t>Contribution Margin</t>
  </si>
  <si>
    <t>Break Even Customers</t>
  </si>
  <si>
    <t>Cumulative Profit</t>
  </si>
  <si>
    <r>
      <t xml:space="preserve">Contribution margin = </t>
    </r>
    <r>
      <rPr>
        <b/>
        <sz val="11"/>
        <color theme="1"/>
        <rFont val="Calibri"/>
        <family val="2"/>
      </rPr>
      <t>Price − Variable Cost</t>
    </r>
  </si>
  <si>
    <t>Monthly Churn Rate</t>
  </si>
  <si>
    <t>Customers Start</t>
  </si>
  <si>
    <t>New Customers</t>
  </si>
  <si>
    <t>Churned Customers</t>
  </si>
  <si>
    <t>Customers End</t>
  </si>
  <si>
    <t>Metric</t>
  </si>
  <si>
    <t>Formula</t>
  </si>
  <si>
    <t>Marketing Spend</t>
  </si>
  <si>
    <t>Assumptions</t>
  </si>
  <si>
    <t>Customer_Model</t>
  </si>
  <si>
    <t>CAC</t>
  </si>
  <si>
    <t>Burn Rate</t>
  </si>
  <si>
    <t>Starting Cash</t>
  </si>
  <si>
    <t>LTV</t>
  </si>
  <si>
    <t>LTV = Price per Customer / Churn Rate</t>
  </si>
  <si>
    <t>CAC = Marketing Spend / New Customers</t>
  </si>
  <si>
    <t>LTV/CAC Ratio</t>
  </si>
  <si>
    <t>Cash Balance</t>
  </si>
  <si>
    <t>Price</t>
  </si>
  <si>
    <t>Month 36 Net Profit (₹)</t>
  </si>
  <si>
    <t>Growth Rate</t>
  </si>
  <si>
    <t>Total Revenue (Year 3)</t>
  </si>
  <si>
    <t>Final Net Profit</t>
  </si>
  <si>
    <t>Total Customers</t>
  </si>
  <si>
    <t>KPI Summary (A1:E5)</t>
  </si>
  <si>
    <t>Revenue Growth</t>
  </si>
  <si>
    <t>Net Profit Growth</t>
  </si>
  <si>
    <t>Customer Growth</t>
  </si>
  <si>
    <t>Price Sensitivity</t>
  </si>
  <si>
    <t>Growth Rate Sensitivity</t>
  </si>
  <si>
    <t>STARTUP FINANCIAL MODEL — KEY 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</si>
</sst>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&quot;₹&quot;\ #,##0.00"/>
  </numFmts>
  <fonts count="5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Arial Unicode MS"/>
    </font>
    <font>
      <sz val="11"/>
      <color theme="1"/>
      <name val="Calibri"/>
      <family val="2"/>
    </font>
    <font>
      <b/>
      <sz val="11"/>
      <color theme="4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1">
    <xf numFmtId="0" fontId="0" fillId="0" borderId="0" xfId="0"/>
    <xf numFmtId="0" fontId="0" fillId="0" borderId="1" xfId="0" applyBorder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 vertical="center"/>
    </xf>
    <xf numFmtId="0" fontId="1" fillId="0" borderId="0" xfId="0" applyFont="1"/>
    <xf numFmtId="0" fontId="1" fillId="0" borderId="4" xfId="0" applyFont="1" applyBorder="1"/>
    <xf numFmtId="1" fontId="0" fillId="0" borderId="7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2" xfId="0" applyBorder="1"/>
    <xf numFmtId="0" fontId="0" fillId="0" borderId="9" xfId="0" applyBorder="1"/>
    <xf numFmtId="0" fontId="0" fillId="0" borderId="3" xfId="0" applyBorder="1"/>
    <xf numFmtId="1" fontId="0" fillId="0" borderId="5" xfId="0" applyNumberFormat="1" applyBorder="1" applyAlignment="1">
      <alignment horizontal="center" vertical="center"/>
    </xf>
    <xf numFmtId="0" fontId="1" fillId="0" borderId="6" xfId="0" applyFont="1" applyBorder="1"/>
    <xf numFmtId="1" fontId="0" fillId="0" borderId="8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9" fontId="0" fillId="0" borderId="0" xfId="0" applyNumberFormat="1" applyAlignment="1">
      <alignment horizontal="center" vertical="center"/>
    </xf>
    <xf numFmtId="0" fontId="1" fillId="0" borderId="7" xfId="0" applyFont="1" applyBorder="1"/>
    <xf numFmtId="1" fontId="0" fillId="0" borderId="1" xfId="0" applyNumberFormat="1" applyBorder="1"/>
    <xf numFmtId="0" fontId="1" fillId="0" borderId="10" xfId="0" applyFont="1" applyBorder="1"/>
    <xf numFmtId="0" fontId="0" fillId="0" borderId="8" xfId="0" applyBorder="1"/>
    <xf numFmtId="0" fontId="0" fillId="0" borderId="5" xfId="0" applyBorder="1"/>
    <xf numFmtId="0" fontId="0" fillId="0" borderId="10" xfId="0" applyBorder="1"/>
    <xf numFmtId="0" fontId="0" fillId="0" borderId="7" xfId="0" applyBorder="1"/>
    <xf numFmtId="165" fontId="0" fillId="0" borderId="1" xfId="0" applyNumberFormat="1" applyBorder="1"/>
    <xf numFmtId="165" fontId="0" fillId="0" borderId="3" xfId="0" applyNumberFormat="1" applyBorder="1"/>
    <xf numFmtId="165" fontId="0" fillId="0" borderId="0" xfId="0" applyNumberFormat="1"/>
    <xf numFmtId="165" fontId="0" fillId="0" borderId="0" xfId="0" applyNumberFormat="1" applyAlignment="1">
      <alignment horizontal="center" vertical="center"/>
    </xf>
    <xf numFmtId="9" fontId="2" fillId="0" borderId="0" xfId="1" applyFont="1"/>
    <xf numFmtId="9" fontId="0" fillId="0" borderId="0" xfId="1" applyFont="1"/>
    <xf numFmtId="165" fontId="0" fillId="0" borderId="1" xfId="0" applyNumberForma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9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Growth</a:t>
            </a:r>
            <a:endParaRPr lang="en-IN"/>
          </a:p>
        </c:rich>
      </c:tx>
      <c:layout>
        <c:manualLayout>
          <c:xMode val="edge"/>
          <c:yMode val="edge"/>
          <c:x val="0.37655491561324994"/>
          <c:y val="3.6581198919990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Revenue_Model!$A$3:$A$38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cat>
          <c:val>
            <c:numRef>
              <c:f>Revenue_Model!$C$3:$C$38</c:f>
              <c:numCache>
                <c:formatCode>"₹"\ #,##0.00</c:formatCode>
                <c:ptCount val="36"/>
                <c:pt idx="0">
                  <c:v>50000</c:v>
                </c:pt>
                <c:pt idx="1">
                  <c:v>51500</c:v>
                </c:pt>
                <c:pt idx="2">
                  <c:v>53045</c:v>
                </c:pt>
                <c:pt idx="3">
                  <c:v>54636.35</c:v>
                </c:pt>
                <c:pt idx="4">
                  <c:v>56275.440499999997</c:v>
                </c:pt>
                <c:pt idx="5">
                  <c:v>57963.703714999996</c:v>
                </c:pt>
                <c:pt idx="6">
                  <c:v>59702.614826449993</c:v>
                </c:pt>
                <c:pt idx="7">
                  <c:v>61493.693271243494</c:v>
                </c:pt>
                <c:pt idx="8">
                  <c:v>63338.504069380804</c:v>
                </c:pt>
                <c:pt idx="9">
                  <c:v>65238.659191462219</c:v>
                </c:pt>
                <c:pt idx="10">
                  <c:v>67195.818967206098</c:v>
                </c:pt>
                <c:pt idx="11">
                  <c:v>69211.693536222287</c:v>
                </c:pt>
                <c:pt idx="12">
                  <c:v>71288.044342308945</c:v>
                </c:pt>
                <c:pt idx="13">
                  <c:v>73426.685672578213</c:v>
                </c:pt>
                <c:pt idx="14">
                  <c:v>75629.486242755564</c:v>
                </c:pt>
                <c:pt idx="15">
                  <c:v>77898.370830038213</c:v>
                </c:pt>
                <c:pt idx="16">
                  <c:v>80235.321954939369</c:v>
                </c:pt>
                <c:pt idx="17">
                  <c:v>82642.381613587539</c:v>
                </c:pt>
                <c:pt idx="18">
                  <c:v>85121.653061995166</c:v>
                </c:pt>
                <c:pt idx="19">
                  <c:v>87675.302653855018</c:v>
                </c:pt>
                <c:pt idx="20">
                  <c:v>90305.561733470648</c:v>
                </c:pt>
                <c:pt idx="21">
                  <c:v>93014.728585474775</c:v>
                </c:pt>
                <c:pt idx="22">
                  <c:v>95805.170443039009</c:v>
                </c:pt>
                <c:pt idx="23">
                  <c:v>98679.325556330165</c:v>
                </c:pt>
                <c:pt idx="24">
                  <c:v>101639.70532302007</c:v>
                </c:pt>
                <c:pt idx="25">
                  <c:v>104688.89648271065</c:v>
                </c:pt>
                <c:pt idx="26">
                  <c:v>107829.56337719198</c:v>
                </c:pt>
                <c:pt idx="27">
                  <c:v>111064.45027850775</c:v>
                </c:pt>
                <c:pt idx="28">
                  <c:v>114396.38378686298</c:v>
                </c:pt>
                <c:pt idx="29">
                  <c:v>117828.27530046887</c:v>
                </c:pt>
                <c:pt idx="30">
                  <c:v>121363.12355948295</c:v>
                </c:pt>
                <c:pt idx="31">
                  <c:v>125004.01726626743</c:v>
                </c:pt>
                <c:pt idx="32">
                  <c:v>128754.13778425545</c:v>
                </c:pt>
                <c:pt idx="33">
                  <c:v>132616.76191778309</c:v>
                </c:pt>
                <c:pt idx="34">
                  <c:v>136595.26477531658</c:v>
                </c:pt>
                <c:pt idx="35">
                  <c:v>140693.12271857608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F5-4140-A810-79198D37C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6395424"/>
        <c:axId val="1526396384"/>
      </c:lineChart>
      <c:catAx>
        <c:axId val="1526395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396384"/>
        <c:crosses val="autoZero"/>
        <c:auto val="1"/>
        <c:lblAlgn val="ctr"/>
        <c:lblOffset val="100"/>
        <c:noMultiLvlLbl val="0"/>
      </c:catAx>
      <c:valAx>
        <c:axId val="152639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395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Customers </a:t>
            </a:r>
            <a:r>
              <a:rPr lang="en-IN" sz="1400" b="0" i="0" u="none" strike="noStrike" baseline="0"/>
              <a:t>Growth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Customers End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Customer_Model!$A$3:$A$38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cat>
          <c:val>
            <c:numRef>
              <c:f>Customer_Model!$E$3:$E$38</c:f>
              <c:numCache>
                <c:formatCode>0</c:formatCode>
                <c:ptCount val="36"/>
                <c:pt idx="0">
                  <c:v>103</c:v>
                </c:pt>
                <c:pt idx="1">
                  <c:v>106.09</c:v>
                </c:pt>
                <c:pt idx="2">
                  <c:v>109.2727</c:v>
                </c:pt>
                <c:pt idx="3">
                  <c:v>112.55088099999999</c:v>
                </c:pt>
                <c:pt idx="4">
                  <c:v>115.92740742999999</c:v>
                </c:pt>
                <c:pt idx="5">
                  <c:v>119.40522965289999</c:v>
                </c:pt>
                <c:pt idx="6">
                  <c:v>122.98738654248699</c:v>
                </c:pt>
                <c:pt idx="7">
                  <c:v>126.67700813876161</c:v>
                </c:pt>
                <c:pt idx="8">
                  <c:v>130.47731838292444</c:v>
                </c:pt>
                <c:pt idx="9">
                  <c:v>134.39163793441219</c:v>
                </c:pt>
                <c:pt idx="10">
                  <c:v>138.42338707244457</c:v>
                </c:pt>
                <c:pt idx="11">
                  <c:v>142.5760886846179</c:v>
                </c:pt>
                <c:pt idx="12">
                  <c:v>146.85337134515643</c:v>
                </c:pt>
                <c:pt idx="13">
                  <c:v>151.25897248551112</c:v>
                </c:pt>
                <c:pt idx="14">
                  <c:v>155.79674166007644</c:v>
                </c:pt>
                <c:pt idx="15">
                  <c:v>160.47064390987873</c:v>
                </c:pt>
                <c:pt idx="16">
                  <c:v>165.28476322717509</c:v>
                </c:pt>
                <c:pt idx="17">
                  <c:v>170.24330612399032</c:v>
                </c:pt>
                <c:pt idx="18">
                  <c:v>175.35060530771003</c:v>
                </c:pt>
                <c:pt idx="19">
                  <c:v>180.61112346694131</c:v>
                </c:pt>
                <c:pt idx="20">
                  <c:v>186.02945717094954</c:v>
                </c:pt>
                <c:pt idx="21">
                  <c:v>191.61034088607801</c:v>
                </c:pt>
                <c:pt idx="22">
                  <c:v>197.35865111266034</c:v>
                </c:pt>
                <c:pt idx="23">
                  <c:v>203.27941064604013</c:v>
                </c:pt>
                <c:pt idx="24">
                  <c:v>209.37779296542132</c:v>
                </c:pt>
                <c:pt idx="25">
                  <c:v>215.65912675438398</c:v>
                </c:pt>
                <c:pt idx="26">
                  <c:v>222.1289005570155</c:v>
                </c:pt>
                <c:pt idx="27">
                  <c:v>228.79276757372597</c:v>
                </c:pt>
                <c:pt idx="28">
                  <c:v>235.65655060093775</c:v>
                </c:pt>
                <c:pt idx="29">
                  <c:v>242.72624711896589</c:v>
                </c:pt>
                <c:pt idx="30">
                  <c:v>250.00803453253485</c:v>
                </c:pt>
                <c:pt idx="31">
                  <c:v>257.5082755685109</c:v>
                </c:pt>
                <c:pt idx="32">
                  <c:v>265.23352383556619</c:v>
                </c:pt>
                <c:pt idx="33">
                  <c:v>273.19052955063319</c:v>
                </c:pt>
                <c:pt idx="34">
                  <c:v>281.38624543715218</c:v>
                </c:pt>
                <c:pt idx="35">
                  <c:v>289.82783280026672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55-48E3-A35A-9866E446F8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8585856"/>
        <c:axId val="1448576736"/>
      </c:lineChart>
      <c:catAx>
        <c:axId val="144858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576736"/>
        <c:crosses val="autoZero"/>
        <c:auto val="1"/>
        <c:lblAlgn val="ctr"/>
        <c:lblOffset val="100"/>
        <c:noMultiLvlLbl val="0"/>
      </c:catAx>
      <c:valAx>
        <c:axId val="144857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585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Net Profit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Profit_Loss!$A$3:$A$38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cat>
          <c:val>
            <c:numRef>
              <c:f>Profit_Loss!$F$3:$F$38</c:f>
              <c:numCache>
                <c:formatCode>"₹"\ #,##0.00</c:formatCode>
                <c:ptCount val="36"/>
                <c:pt idx="0">
                  <c:v>5250</c:v>
                </c:pt>
                <c:pt idx="1">
                  <c:v>6037.5</c:v>
                </c:pt>
                <c:pt idx="2">
                  <c:v>6848.625</c:v>
                </c:pt>
                <c:pt idx="3">
                  <c:v>7684.0837499999998</c:v>
                </c:pt>
                <c:pt idx="4">
                  <c:v>8544.6062624999995</c:v>
                </c:pt>
                <c:pt idx="5">
                  <c:v>9430.9444503749946</c:v>
                </c:pt>
                <c:pt idx="6">
                  <c:v>10343.872783886243</c:v>
                </c:pt>
                <c:pt idx="7">
                  <c:v>11284.188967402835</c:v>
                </c:pt>
                <c:pt idx="8">
                  <c:v>12252.714636424918</c:v>
                </c:pt>
                <c:pt idx="9">
                  <c:v>13250.296075517666</c:v>
                </c:pt>
                <c:pt idx="10">
                  <c:v>14277.804957783203</c:v>
                </c:pt>
                <c:pt idx="11">
                  <c:v>15336.139106516697</c:v>
                </c:pt>
                <c:pt idx="12">
                  <c:v>16426.223279712194</c:v>
                </c:pt>
                <c:pt idx="13">
                  <c:v>17549.009978103561</c:v>
                </c:pt>
                <c:pt idx="14">
                  <c:v>18705.48027744667</c:v>
                </c:pt>
                <c:pt idx="15">
                  <c:v>19896.644685770058</c:v>
                </c:pt>
                <c:pt idx="16">
                  <c:v>21123.544026343166</c:v>
                </c:pt>
                <c:pt idx="17">
                  <c:v>22387.250347133457</c:v>
                </c:pt>
                <c:pt idx="18">
                  <c:v>23688.867857547462</c:v>
                </c:pt>
                <c:pt idx="19">
                  <c:v>25029.533893273889</c:v>
                </c:pt>
                <c:pt idx="20">
                  <c:v>26410.419910072087</c:v>
                </c:pt>
                <c:pt idx="21">
                  <c:v>27832.732507374261</c:v>
                </c:pt>
                <c:pt idx="22">
                  <c:v>29297.714482595482</c:v>
                </c:pt>
                <c:pt idx="23">
                  <c:v>30806.645917073336</c:v>
                </c:pt>
                <c:pt idx="24">
                  <c:v>32360.845294585535</c:v>
                </c:pt>
                <c:pt idx="25">
                  <c:v>33961.670653423091</c:v>
                </c:pt>
                <c:pt idx="26">
                  <c:v>35610.520773025783</c:v>
                </c:pt>
                <c:pt idx="27">
                  <c:v>37308.836396216568</c:v>
                </c:pt>
                <c:pt idx="28">
                  <c:v>39058.101488103064</c:v>
                </c:pt>
                <c:pt idx="29">
                  <c:v>40859.844532746152</c:v>
                </c:pt>
                <c:pt idx="30">
                  <c:v>42715.639868728547</c:v>
                </c:pt>
                <c:pt idx="31">
                  <c:v>44627.109064790406</c:v>
                </c:pt>
                <c:pt idx="32">
                  <c:v>46595.922336734118</c:v>
                </c:pt>
                <c:pt idx="33">
                  <c:v>48623.800006836122</c:v>
                </c:pt>
                <c:pt idx="34">
                  <c:v>50712.514007041209</c:v>
                </c:pt>
                <c:pt idx="35">
                  <c:v>52863.889427252434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BB-483F-A7CB-009C016AE8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6369024"/>
        <c:axId val="1526369504"/>
      </c:lineChart>
      <c:catAx>
        <c:axId val="152636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369504"/>
        <c:crosses val="autoZero"/>
        <c:auto val="1"/>
        <c:lblAlgn val="ctr"/>
        <c:lblOffset val="100"/>
        <c:noMultiLvlLbl val="0"/>
      </c:catAx>
      <c:valAx>
        <c:axId val="152636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369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Price vs Net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Sensitivity_Analysis!$A$2:$A$7</c:f>
              <c:numCache>
                <c:formatCode>General</c:formatCode>
                <c:ptCount val="6"/>
                <c:pt idx="0">
                  <c:v>400</c:v>
                </c:pt>
                <c:pt idx="1">
                  <c:v>450</c:v>
                </c:pt>
                <c:pt idx="2">
                  <c:v>500</c:v>
                </c:pt>
                <c:pt idx="3">
                  <c:v>550</c:v>
                </c:pt>
                <c:pt idx="4">
                  <c:v>600</c:v>
                </c:pt>
                <c:pt idx="5">
                  <c:v>650</c:v>
                </c:pt>
              </c:numCache>
            </c:numRef>
          </c:cat>
          <c:val>
            <c:numRef>
              <c:f>Sensitivity_Analysis!$B$2:$B$7</c:f>
              <c:numCache>
                <c:formatCode>"₹"\ #,##0.00</c:formatCode>
                <c:ptCount val="6"/>
                <c:pt idx="0">
                  <c:v>123114.12735585656</c:v>
                </c:pt>
                <c:pt idx="1">
                  <c:v>151936.95282702788</c:v>
                </c:pt>
                <c:pt idx="2">
                  <c:v>180759.77829819918</c:v>
                </c:pt>
                <c:pt idx="3">
                  <c:v>209582.6037693705</c:v>
                </c:pt>
                <c:pt idx="4">
                  <c:v>238405.42924054182</c:v>
                </c:pt>
                <c:pt idx="5">
                  <c:v>267228.25471171312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F0-4C50-9FEE-A1A65E41CF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6365664"/>
        <c:axId val="1526366144"/>
      </c:barChart>
      <c:catAx>
        <c:axId val="1526365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366144"/>
        <c:crosses val="autoZero"/>
        <c:auto val="1"/>
        <c:lblAlgn val="ctr"/>
        <c:lblOffset val="100"/>
        <c:noMultiLvlLbl val="0"/>
      </c:catAx>
      <c:valAx>
        <c:axId val="1526366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36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Growth Rate Sensitivity</a:t>
            </a:r>
            <a:endParaRPr lang="en-IN"/>
          </a:p>
        </c:rich>
      </c:tx>
      <c:layout>
        <c:manualLayout>
          <c:xMode val="edge"/>
          <c:yMode val="edge"/>
          <c:x val="0.35792204007708733"/>
          <c:y val="3.7403738754028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0"/>
          <c:tx>
            <c:v> Net Profit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Sensitivity_Analysis!$E$2:$E$7</c:f>
              <c:numCache>
                <c:formatCode>"₹"\ #,##0.00</c:formatCode>
                <c:ptCount val="6"/>
                <c:pt idx="0">
                  <c:v>52863.889427252463</c:v>
                </c:pt>
                <c:pt idx="1">
                  <c:v>123795.4033992966</c:v>
                </c:pt>
                <c:pt idx="2">
                  <c:v>180759.77829819918</c:v>
                </c:pt>
                <c:pt idx="3">
                  <c:v>367115.28772591468</c:v>
                </c:pt>
                <c:pt idx="4">
                  <c:v>716688.96726168832</c:v>
                </c:pt>
                <c:pt idx="5">
                  <c:v>1364990.013951571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FC-43A2-82AE-F5F8D7F2A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26367584"/>
        <c:axId val="1526377664"/>
      </c:barChart>
      <c:catAx>
        <c:axId val="1526367584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377664"/>
        <c:crosses val="autoZero"/>
        <c:auto val="1"/>
        <c:lblAlgn val="ctr"/>
        <c:lblOffset val="100"/>
        <c:noMultiLvlLbl val="0"/>
      </c:catAx>
      <c:valAx>
        <c:axId val="1526377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36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299104</xdr:colOff>
      <xdr:row>9</xdr:row>
      <xdr:rowOff>7121</xdr:rowOff>
    </xdr:from>
    <xdr:to>
      <xdr:col>6</xdr:col>
      <xdr:colOff>555478</xdr:colOff>
      <xdr:row>23</xdr:row>
      <xdr:rowOff>56971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761AB6-0D48-4BAC-A718-7394D61284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263393</xdr:colOff>
      <xdr:row>23</xdr:row>
      <xdr:rowOff>152400</xdr:rowOff>
    </xdr:from>
    <xdr:to>
      <xdr:col>6</xdr:col>
      <xdr:colOff>576943</xdr:colOff>
      <xdr:row>38</xdr:row>
      <xdr:rowOff>10072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D39188F-371C-440F-8245-59BE79F0B1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9</xdr:row>
      <xdr:rowOff>0</xdr:rowOff>
    </xdr:from>
    <xdr:to>
      <xdr:col>14</xdr:col>
      <xdr:colOff>225777</xdr:colOff>
      <xdr:row>23</xdr:row>
      <xdr:rowOff>7055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31535C9-FD1B-411F-A255-5C057B122A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24</xdr:row>
      <xdr:rowOff>0</xdr:rowOff>
    </xdr:from>
    <xdr:to>
      <xdr:col>14</xdr:col>
      <xdr:colOff>350921</xdr:colOff>
      <xdr:row>37</xdr:row>
      <xdr:rowOff>160421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20D5415-7A40-4817-A7D4-7BBE14AFAF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599819</xdr:colOff>
      <xdr:row>39</xdr:row>
      <xdr:rowOff>98612</xdr:rowOff>
    </xdr:from>
    <xdr:to>
      <xdr:col>11</xdr:col>
      <xdr:colOff>600635</xdr:colOff>
      <xdr:row>54</xdr:row>
      <xdr:rowOff>125507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3039EA7-88F5-415F-B2A8-3CC16763E8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18D6D-1FF1-4FE4-AD41-CDC569A6266D}">
  <dimension ref="A1:I21"/>
  <sheetViews>
    <sheetView zoomScaleNormal="100" workbookViewId="0">
      <selection activeCell="F4" sqref="F4"/>
    </sheetView>
  </sheetViews>
  <sheetFormatPr defaultRowHeight="14.4"/>
  <cols>
    <col min="1" max="1" width="30.5546875" customWidth="1"/>
    <col min="2" max="2" width="23.5546875" bestFit="1" customWidth="1"/>
    <col min="3" max="3" width="17.88671875" customWidth="1"/>
    <col min="5" max="5" width="5.77734375" customWidth="1"/>
    <col min="6" max="6" width="37.6640625" customWidth="1"/>
    <col min="8" max="8" width="16.109375" customWidth="1"/>
    <col min="9" max="9" width="18" customWidth="1"/>
  </cols>
  <sheetData>
    <row r="1" spans="1:9">
      <c r="A1" s="10" t="s">
        <v>0</v>
      </c>
      <c r="B1" s="14" t="s">
        <v>1</v>
      </c>
      <c r="C1" s="14" t="s">
        <v>13</v>
      </c>
    </row>
    <row r="2" spans="1:9">
      <c r="A2" s="10"/>
      <c r="B2" s="3"/>
      <c r="C2" s="3"/>
    </row>
    <row r="3" spans="1:9">
      <c r="A3" s="3" t="s">
        <v>2</v>
      </c>
      <c r="B3" s="3">
        <v>100</v>
      </c>
      <c r="C3" s="3" t="s">
        <v>11</v>
      </c>
    </row>
    <row r="4" spans="1:9">
      <c r="A4" s="3"/>
      <c r="B4" s="29"/>
      <c r="C4" s="3"/>
      <c r="F4" t="s">
        <v>27</v>
      </c>
      <c r="H4" s="10"/>
      <c r="I4" s="10"/>
    </row>
    <row r="5" spans="1:9">
      <c r="A5" s="3" t="s">
        <v>3</v>
      </c>
      <c r="B5" s="30">
        <v>0.06</v>
      </c>
      <c r="C5" s="3" t="s">
        <v>14</v>
      </c>
      <c r="H5" s="2"/>
      <c r="I5" s="2"/>
    </row>
    <row r="6" spans="1:9">
      <c r="A6" s="3"/>
      <c r="B6" s="30"/>
      <c r="C6" s="3"/>
      <c r="H6" s="2"/>
      <c r="I6" s="2"/>
    </row>
    <row r="7" spans="1:9">
      <c r="A7" s="3" t="s">
        <v>9</v>
      </c>
      <c r="B7" s="3">
        <v>500</v>
      </c>
      <c r="C7" s="3" t="s">
        <v>15</v>
      </c>
      <c r="H7" s="2"/>
      <c r="I7" s="2"/>
    </row>
    <row r="8" spans="1:9">
      <c r="A8" s="3"/>
      <c r="B8" s="3"/>
      <c r="C8" s="3"/>
    </row>
    <row r="9" spans="1:9">
      <c r="A9" s="3" t="s">
        <v>4</v>
      </c>
      <c r="B9" s="3">
        <v>150</v>
      </c>
      <c r="C9" s="3" t="s">
        <v>15</v>
      </c>
    </row>
    <row r="10" spans="1:9">
      <c r="A10" s="3"/>
      <c r="B10" s="3"/>
      <c r="C10" s="3"/>
    </row>
    <row r="11" spans="1:9">
      <c r="A11" s="3" t="s">
        <v>5</v>
      </c>
      <c r="B11" s="29">
        <v>20000</v>
      </c>
      <c r="C11" s="3" t="s">
        <v>15</v>
      </c>
    </row>
    <row r="12" spans="1:9">
      <c r="A12" s="3"/>
      <c r="B12" s="29"/>
      <c r="C12" s="3"/>
    </row>
    <row r="13" spans="1:9">
      <c r="A13" s="3" t="s">
        <v>6</v>
      </c>
      <c r="B13" s="3">
        <v>8000</v>
      </c>
      <c r="C13" s="3" t="s">
        <v>15</v>
      </c>
    </row>
    <row r="14" spans="1:9">
      <c r="A14" s="3"/>
      <c r="B14" s="3"/>
      <c r="C14" s="3"/>
    </row>
    <row r="15" spans="1:9">
      <c r="A15" s="3" t="s">
        <v>7</v>
      </c>
      <c r="B15" s="31">
        <v>0.25</v>
      </c>
      <c r="C15" s="3" t="s">
        <v>14</v>
      </c>
    </row>
    <row r="16" spans="1:9">
      <c r="A16" s="3"/>
      <c r="B16" s="3"/>
      <c r="C16" s="3"/>
    </row>
    <row r="17" spans="1:3">
      <c r="A17" s="3" t="s">
        <v>8</v>
      </c>
      <c r="B17" s="3">
        <v>36</v>
      </c>
      <c r="C17" s="29" t="s">
        <v>16</v>
      </c>
    </row>
    <row r="18" spans="1:3">
      <c r="A18" s="3"/>
      <c r="B18" s="3"/>
      <c r="C18" s="3"/>
    </row>
    <row r="19" spans="1:3">
      <c r="A19" s="3" t="s">
        <v>28</v>
      </c>
      <c r="B19" s="31">
        <v>0.03</v>
      </c>
      <c r="C19" s="3" t="s">
        <v>14</v>
      </c>
    </row>
    <row r="20" spans="1:3">
      <c r="A20" s="3"/>
      <c r="B20" s="3"/>
      <c r="C20" s="3"/>
    </row>
    <row r="21" spans="1:3">
      <c r="A21" s="3" t="s">
        <v>40</v>
      </c>
      <c r="B21" s="3">
        <v>500000</v>
      </c>
      <c r="C2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AF9F9-5866-4CEB-9B3F-2EF13B462633}">
  <dimension ref="A1:E38"/>
  <sheetViews>
    <sheetView zoomScaleNormal="100" workbookViewId="0">
      <selection activeCell="I18" sqref="I18"/>
    </sheetView>
  </sheetViews>
  <sheetFormatPr defaultRowHeight="14.4"/>
  <cols>
    <col min="2" max="2" width="14.109375" bestFit="1" customWidth="1"/>
    <col min="3" max="3" width="14" bestFit="1" customWidth="1"/>
    <col min="4" max="4" width="17" bestFit="1" customWidth="1"/>
    <col min="5" max="5" width="13.21875" bestFit="1" customWidth="1"/>
  </cols>
  <sheetData>
    <row r="1" spans="1:5">
      <c r="A1" t="s">
        <v>10</v>
      </c>
      <c r="B1" t="s">
        <v>29</v>
      </c>
      <c r="C1" t="s">
        <v>30</v>
      </c>
      <c r="D1" t="s">
        <v>31</v>
      </c>
      <c r="E1" t="s">
        <v>32</v>
      </c>
    </row>
    <row r="3" spans="1:5">
      <c r="A3">
        <f>Revenue_Model!A3</f>
        <v>1</v>
      </c>
      <c r="B3">
        <f>Assumptions!$B$3</f>
        <v>100</v>
      </c>
      <c r="C3" s="15">
        <f>B3*Assumptions!$B$5</f>
        <v>6</v>
      </c>
      <c r="D3" s="15">
        <f>B3*Assumptions!$B$19</f>
        <v>3</v>
      </c>
      <c r="E3" s="15">
        <f>B3+C3-D3</f>
        <v>103</v>
      </c>
    </row>
    <row r="4" spans="1:5">
      <c r="A4">
        <f>A3+1</f>
        <v>2</v>
      </c>
      <c r="B4" s="15">
        <f>E3</f>
        <v>103</v>
      </c>
      <c r="C4" s="15">
        <f>B4*Assumptions!$B$5</f>
        <v>6.18</v>
      </c>
      <c r="D4" s="15">
        <f>B4*Assumptions!$B$19</f>
        <v>3.09</v>
      </c>
      <c r="E4" s="15">
        <f t="shared" ref="E4:E38" si="0">B4+C4-D4</f>
        <v>106.09</v>
      </c>
    </row>
    <row r="5" spans="1:5">
      <c r="A5">
        <f>A4+1</f>
        <v>3</v>
      </c>
      <c r="B5" s="15">
        <f t="shared" ref="B5:B38" si="1">E4</f>
        <v>106.09</v>
      </c>
      <c r="C5" s="15">
        <f>B5*Assumptions!$B$5</f>
        <v>6.3654000000000002</v>
      </c>
      <c r="D5" s="15">
        <f>B5*Assumptions!$B$19</f>
        <v>3.1827000000000001</v>
      </c>
      <c r="E5" s="15">
        <f t="shared" si="0"/>
        <v>109.2727</v>
      </c>
    </row>
    <row r="6" spans="1:5">
      <c r="A6">
        <f>A5+1</f>
        <v>4</v>
      </c>
      <c r="B6" s="15">
        <f t="shared" si="1"/>
        <v>109.2727</v>
      </c>
      <c r="C6" s="15">
        <f>B6*Assumptions!$B$5</f>
        <v>6.556362</v>
      </c>
      <c r="D6" s="15">
        <f>B6*Assumptions!$B$19</f>
        <v>3.278181</v>
      </c>
      <c r="E6" s="15">
        <f t="shared" si="0"/>
        <v>112.55088099999999</v>
      </c>
    </row>
    <row r="7" spans="1:5">
      <c r="A7">
        <f t="shared" ref="A7:A38" si="2">A6+1</f>
        <v>5</v>
      </c>
      <c r="B7" s="15">
        <f t="shared" si="1"/>
        <v>112.55088099999999</v>
      </c>
      <c r="C7" s="15">
        <f>B7*Assumptions!$B$5</f>
        <v>6.7530528599999995</v>
      </c>
      <c r="D7" s="15">
        <f>B7*Assumptions!$B$19</f>
        <v>3.3765264299999997</v>
      </c>
      <c r="E7" s="15">
        <f t="shared" si="0"/>
        <v>115.92740742999999</v>
      </c>
    </row>
    <row r="8" spans="1:5">
      <c r="A8">
        <f t="shared" si="2"/>
        <v>6</v>
      </c>
      <c r="B8" s="15">
        <f t="shared" si="1"/>
        <v>115.92740742999999</v>
      </c>
      <c r="C8" s="15">
        <f>B8*Assumptions!$B$5</f>
        <v>6.9556444457999991</v>
      </c>
      <c r="D8" s="15">
        <f>B8*Assumptions!$B$19</f>
        <v>3.4778222228999995</v>
      </c>
      <c r="E8" s="15">
        <f t="shared" si="0"/>
        <v>119.40522965289999</v>
      </c>
    </row>
    <row r="9" spans="1:5">
      <c r="A9">
        <f t="shared" si="2"/>
        <v>7</v>
      </c>
      <c r="B9" s="15">
        <f t="shared" si="1"/>
        <v>119.40522965289999</v>
      </c>
      <c r="C9" s="15">
        <f>B9*Assumptions!$B$5</f>
        <v>7.164313779173999</v>
      </c>
      <c r="D9" s="15">
        <f>B9*Assumptions!$B$19</f>
        <v>3.5821568895869995</v>
      </c>
      <c r="E9" s="15">
        <f t="shared" si="0"/>
        <v>122.98738654248699</v>
      </c>
    </row>
    <row r="10" spans="1:5">
      <c r="A10">
        <f t="shared" si="2"/>
        <v>8</v>
      </c>
      <c r="B10" s="15">
        <f t="shared" si="1"/>
        <v>122.98738654248699</v>
      </c>
      <c r="C10" s="15">
        <f>B10*Assumptions!$B$5</f>
        <v>7.379243192549219</v>
      </c>
      <c r="D10" s="15">
        <f>B10*Assumptions!$B$19</f>
        <v>3.6896215962746095</v>
      </c>
      <c r="E10" s="15">
        <f t="shared" si="0"/>
        <v>126.67700813876161</v>
      </c>
    </row>
    <row r="11" spans="1:5">
      <c r="A11">
        <f t="shared" si="2"/>
        <v>9</v>
      </c>
      <c r="B11" s="15">
        <f t="shared" si="1"/>
        <v>126.67700813876161</v>
      </c>
      <c r="C11" s="15">
        <f>B11*Assumptions!$B$5</f>
        <v>7.6006204883256965</v>
      </c>
      <c r="D11" s="15">
        <f>B11*Assumptions!$B$19</f>
        <v>3.8003102441628482</v>
      </c>
      <c r="E11" s="15">
        <f t="shared" si="0"/>
        <v>130.47731838292444</v>
      </c>
    </row>
    <row r="12" spans="1:5">
      <c r="A12">
        <f t="shared" si="2"/>
        <v>10</v>
      </c>
      <c r="B12" s="15">
        <f t="shared" si="1"/>
        <v>130.47731838292444</v>
      </c>
      <c r="C12" s="15">
        <f>B12*Assumptions!$B$5</f>
        <v>7.8286391029754663</v>
      </c>
      <c r="D12" s="15">
        <f>B12*Assumptions!$B$19</f>
        <v>3.9143195514877331</v>
      </c>
      <c r="E12" s="15">
        <f t="shared" si="0"/>
        <v>134.39163793441219</v>
      </c>
    </row>
    <row r="13" spans="1:5">
      <c r="A13">
        <f t="shared" si="2"/>
        <v>11</v>
      </c>
      <c r="B13" s="15">
        <f t="shared" si="1"/>
        <v>134.39163793441219</v>
      </c>
      <c r="C13" s="15">
        <f>B13*Assumptions!$B$5</f>
        <v>8.0634982760647311</v>
      </c>
      <c r="D13" s="15">
        <f>B13*Assumptions!$B$19</f>
        <v>4.0317491380323656</v>
      </c>
      <c r="E13" s="15">
        <f t="shared" si="0"/>
        <v>138.42338707244457</v>
      </c>
    </row>
    <row r="14" spans="1:5">
      <c r="A14">
        <f t="shared" si="2"/>
        <v>12</v>
      </c>
      <c r="B14" s="15">
        <f t="shared" si="1"/>
        <v>138.42338707244457</v>
      </c>
      <c r="C14" s="15">
        <f>B14*Assumptions!$B$5</f>
        <v>8.3054032243466747</v>
      </c>
      <c r="D14" s="15">
        <f>B14*Assumptions!$B$19</f>
        <v>4.1527016121733373</v>
      </c>
      <c r="E14" s="15">
        <f t="shared" si="0"/>
        <v>142.5760886846179</v>
      </c>
    </row>
    <row r="15" spans="1:5">
      <c r="A15">
        <f t="shared" si="2"/>
        <v>13</v>
      </c>
      <c r="B15" s="15">
        <f t="shared" si="1"/>
        <v>142.5760886846179</v>
      </c>
      <c r="C15" s="15">
        <f>B15*Assumptions!$B$5</f>
        <v>8.5545653210770745</v>
      </c>
      <c r="D15" s="15">
        <f>B15*Assumptions!$B$19</f>
        <v>4.2772826605385372</v>
      </c>
      <c r="E15" s="15">
        <f t="shared" si="0"/>
        <v>146.85337134515643</v>
      </c>
    </row>
    <row r="16" spans="1:5">
      <c r="A16">
        <f t="shared" si="2"/>
        <v>14</v>
      </c>
      <c r="B16" s="15">
        <f t="shared" si="1"/>
        <v>146.85337134515643</v>
      </c>
      <c r="C16" s="15">
        <f>B16*Assumptions!$B$5</f>
        <v>8.8112022807093862</v>
      </c>
      <c r="D16" s="15">
        <f>B16*Assumptions!$B$19</f>
        <v>4.4056011403546931</v>
      </c>
      <c r="E16" s="15">
        <f t="shared" si="0"/>
        <v>151.25897248551112</v>
      </c>
    </row>
    <row r="17" spans="1:5">
      <c r="A17">
        <f t="shared" si="2"/>
        <v>15</v>
      </c>
      <c r="B17" s="15">
        <f t="shared" si="1"/>
        <v>151.25897248551112</v>
      </c>
      <c r="C17" s="15">
        <f>B17*Assumptions!$B$5</f>
        <v>9.0755383491306674</v>
      </c>
      <c r="D17" s="15">
        <f>B17*Assumptions!$B$19</f>
        <v>4.5377691745653337</v>
      </c>
      <c r="E17" s="15">
        <f t="shared" si="0"/>
        <v>155.79674166007644</v>
      </c>
    </row>
    <row r="18" spans="1:5">
      <c r="A18">
        <f t="shared" si="2"/>
        <v>16</v>
      </c>
      <c r="B18" s="15">
        <f t="shared" si="1"/>
        <v>155.79674166007644</v>
      </c>
      <c r="C18" s="15">
        <f>B18*Assumptions!$B$5</f>
        <v>9.3478044996045853</v>
      </c>
      <c r="D18" s="15">
        <f>B18*Assumptions!$B$19</f>
        <v>4.6739022498022926</v>
      </c>
      <c r="E18" s="15">
        <f t="shared" si="0"/>
        <v>160.47064390987873</v>
      </c>
    </row>
    <row r="19" spans="1:5">
      <c r="A19">
        <f t="shared" si="2"/>
        <v>17</v>
      </c>
      <c r="B19" s="15">
        <f t="shared" si="1"/>
        <v>160.47064390987873</v>
      </c>
      <c r="C19" s="15">
        <f>B19*Assumptions!$B$5</f>
        <v>9.6282386345927229</v>
      </c>
      <c r="D19" s="15">
        <f>B19*Assumptions!$B$19</f>
        <v>4.8141193172963614</v>
      </c>
      <c r="E19" s="15">
        <f t="shared" si="0"/>
        <v>165.28476322717509</v>
      </c>
    </row>
    <row r="20" spans="1:5">
      <c r="A20">
        <f t="shared" si="2"/>
        <v>18</v>
      </c>
      <c r="B20" s="15">
        <f t="shared" si="1"/>
        <v>165.28476322717509</v>
      </c>
      <c r="C20" s="15">
        <f>B20*Assumptions!$B$5</f>
        <v>9.9170857936305055</v>
      </c>
      <c r="D20" s="15">
        <f>B20*Assumptions!$B$19</f>
        <v>4.9585428968152527</v>
      </c>
      <c r="E20" s="15">
        <f t="shared" si="0"/>
        <v>170.24330612399032</v>
      </c>
    </row>
    <row r="21" spans="1:5">
      <c r="A21">
        <f t="shared" si="2"/>
        <v>19</v>
      </c>
      <c r="B21" s="15">
        <f t="shared" si="1"/>
        <v>170.24330612399032</v>
      </c>
      <c r="C21" s="15">
        <f>B21*Assumptions!$B$5</f>
        <v>10.21459836743942</v>
      </c>
      <c r="D21" s="15">
        <f>B21*Assumptions!$B$19</f>
        <v>5.1072991837197099</v>
      </c>
      <c r="E21" s="15">
        <f t="shared" si="0"/>
        <v>175.35060530771003</v>
      </c>
    </row>
    <row r="22" spans="1:5">
      <c r="A22">
        <f t="shared" si="2"/>
        <v>20</v>
      </c>
      <c r="B22" s="15">
        <f t="shared" si="1"/>
        <v>175.35060530771003</v>
      </c>
      <c r="C22" s="15">
        <f>B22*Assumptions!$B$5</f>
        <v>10.521036318462601</v>
      </c>
      <c r="D22" s="15">
        <f>B22*Assumptions!$B$19</f>
        <v>5.2605181592313004</v>
      </c>
      <c r="E22" s="15">
        <f t="shared" si="0"/>
        <v>180.61112346694131</v>
      </c>
    </row>
    <row r="23" spans="1:5">
      <c r="A23">
        <f t="shared" si="2"/>
        <v>21</v>
      </c>
      <c r="B23" s="15">
        <f t="shared" si="1"/>
        <v>180.61112346694131</v>
      </c>
      <c r="C23" s="15">
        <f>B23*Assumptions!$B$5</f>
        <v>10.836667408016478</v>
      </c>
      <c r="D23" s="15">
        <f>B23*Assumptions!$B$19</f>
        <v>5.4183337040082389</v>
      </c>
      <c r="E23" s="15">
        <f t="shared" si="0"/>
        <v>186.02945717094954</v>
      </c>
    </row>
    <row r="24" spans="1:5">
      <c r="A24">
        <f t="shared" si="2"/>
        <v>22</v>
      </c>
      <c r="B24" s="15">
        <f t="shared" si="1"/>
        <v>186.02945717094954</v>
      </c>
      <c r="C24" s="15">
        <f>B24*Assumptions!$B$5</f>
        <v>11.161767430256972</v>
      </c>
      <c r="D24" s="15">
        <f>B24*Assumptions!$B$19</f>
        <v>5.5808837151284862</v>
      </c>
      <c r="E24" s="15">
        <f t="shared" si="0"/>
        <v>191.61034088607801</v>
      </c>
    </row>
    <row r="25" spans="1:5">
      <c r="A25">
        <f t="shared" si="2"/>
        <v>23</v>
      </c>
      <c r="B25" s="15">
        <f t="shared" si="1"/>
        <v>191.61034088607801</v>
      </c>
      <c r="C25" s="15">
        <f>B25*Assumptions!$B$5</f>
        <v>11.496620453164679</v>
      </c>
      <c r="D25" s="15">
        <f>B25*Assumptions!$B$19</f>
        <v>5.7483102265823396</v>
      </c>
      <c r="E25" s="15">
        <f t="shared" si="0"/>
        <v>197.35865111266034</v>
      </c>
    </row>
    <row r="26" spans="1:5">
      <c r="A26">
        <f t="shared" si="2"/>
        <v>24</v>
      </c>
      <c r="B26" s="15">
        <f t="shared" si="1"/>
        <v>197.35865111266034</v>
      </c>
      <c r="C26" s="15">
        <f>B26*Assumptions!$B$5</f>
        <v>11.84151906675962</v>
      </c>
      <c r="D26" s="15">
        <f>B26*Assumptions!$B$19</f>
        <v>5.92075953337981</v>
      </c>
      <c r="E26" s="15">
        <f t="shared" si="0"/>
        <v>203.27941064604013</v>
      </c>
    </row>
    <row r="27" spans="1:5">
      <c r="A27">
        <f t="shared" si="2"/>
        <v>25</v>
      </c>
      <c r="B27" s="15">
        <f t="shared" si="1"/>
        <v>203.27941064604013</v>
      </c>
      <c r="C27" s="15">
        <f>B27*Assumptions!$B$5</f>
        <v>12.196764638762408</v>
      </c>
      <c r="D27" s="15">
        <f>B27*Assumptions!$B$19</f>
        <v>6.0983823193812041</v>
      </c>
      <c r="E27" s="15">
        <f t="shared" si="0"/>
        <v>209.37779296542132</v>
      </c>
    </row>
    <row r="28" spans="1:5">
      <c r="A28">
        <f t="shared" si="2"/>
        <v>26</v>
      </c>
      <c r="B28" s="15">
        <f t="shared" si="1"/>
        <v>209.37779296542132</v>
      </c>
      <c r="C28" s="15">
        <f>B28*Assumptions!$B$5</f>
        <v>12.562667577925279</v>
      </c>
      <c r="D28" s="15">
        <f>B28*Assumptions!$B$19</f>
        <v>6.2813337889626393</v>
      </c>
      <c r="E28" s="15">
        <f t="shared" si="0"/>
        <v>215.65912675438398</v>
      </c>
    </row>
    <row r="29" spans="1:5">
      <c r="A29">
        <f t="shared" si="2"/>
        <v>27</v>
      </c>
      <c r="B29" s="15">
        <f t="shared" si="1"/>
        <v>215.65912675438398</v>
      </c>
      <c r="C29" s="15">
        <f>B29*Assumptions!$B$5</f>
        <v>12.939547605263039</v>
      </c>
      <c r="D29" s="15">
        <f>B29*Assumptions!$B$19</f>
        <v>6.4697738026315195</v>
      </c>
      <c r="E29" s="15">
        <f t="shared" si="0"/>
        <v>222.1289005570155</v>
      </c>
    </row>
    <row r="30" spans="1:5">
      <c r="A30">
        <f t="shared" si="2"/>
        <v>28</v>
      </c>
      <c r="B30" s="15">
        <f t="shared" si="1"/>
        <v>222.1289005570155</v>
      </c>
      <c r="C30" s="15">
        <f>B30*Assumptions!$B$5</f>
        <v>13.32773403342093</v>
      </c>
      <c r="D30" s="15">
        <f>B30*Assumptions!$B$19</f>
        <v>6.6638670167104648</v>
      </c>
      <c r="E30" s="15">
        <f t="shared" si="0"/>
        <v>228.79276757372597</v>
      </c>
    </row>
    <row r="31" spans="1:5">
      <c r="A31">
        <f t="shared" si="2"/>
        <v>29</v>
      </c>
      <c r="B31" s="15">
        <f t="shared" si="1"/>
        <v>228.79276757372597</v>
      </c>
      <c r="C31" s="15">
        <f>B31*Assumptions!$B$5</f>
        <v>13.727566054423557</v>
      </c>
      <c r="D31" s="15">
        <f>B31*Assumptions!$B$19</f>
        <v>6.8637830272117784</v>
      </c>
      <c r="E31" s="15">
        <f t="shared" si="0"/>
        <v>235.65655060093775</v>
      </c>
    </row>
    <row r="32" spans="1:5">
      <c r="A32">
        <f t="shared" si="2"/>
        <v>30</v>
      </c>
      <c r="B32" s="15">
        <f t="shared" si="1"/>
        <v>235.65655060093775</v>
      </c>
      <c r="C32" s="15">
        <f>B32*Assumptions!$B$5</f>
        <v>14.139393036056264</v>
      </c>
      <c r="D32" s="15">
        <f>B32*Assumptions!$B$19</f>
        <v>7.0696965180281319</v>
      </c>
      <c r="E32" s="15">
        <f t="shared" si="0"/>
        <v>242.72624711896589</v>
      </c>
    </row>
    <row r="33" spans="1:5">
      <c r="A33">
        <f t="shared" si="2"/>
        <v>31</v>
      </c>
      <c r="B33" s="15">
        <f t="shared" si="1"/>
        <v>242.72624711896589</v>
      </c>
      <c r="C33" s="15">
        <f>B33*Assumptions!$B$5</f>
        <v>14.563574827137952</v>
      </c>
      <c r="D33" s="15">
        <f>B33*Assumptions!$B$19</f>
        <v>7.281787413568976</v>
      </c>
      <c r="E33" s="15">
        <f t="shared" si="0"/>
        <v>250.00803453253485</v>
      </c>
    </row>
    <row r="34" spans="1:5">
      <c r="A34">
        <f t="shared" si="2"/>
        <v>32</v>
      </c>
      <c r="B34" s="15">
        <f t="shared" si="1"/>
        <v>250.00803453253485</v>
      </c>
      <c r="C34" s="15">
        <f>B34*Assumptions!$B$5</f>
        <v>15.00048207195209</v>
      </c>
      <c r="D34" s="15">
        <f>B34*Assumptions!$B$19</f>
        <v>7.5002410359760452</v>
      </c>
      <c r="E34" s="15">
        <f t="shared" si="0"/>
        <v>257.5082755685109</v>
      </c>
    </row>
    <row r="35" spans="1:5">
      <c r="A35">
        <f t="shared" si="2"/>
        <v>33</v>
      </c>
      <c r="B35" s="15">
        <f t="shared" si="1"/>
        <v>257.5082755685109</v>
      </c>
      <c r="C35" s="15">
        <f>B35*Assumptions!$B$5</f>
        <v>15.450496534110654</v>
      </c>
      <c r="D35" s="15">
        <f>B35*Assumptions!$B$19</f>
        <v>7.7252482670553269</v>
      </c>
      <c r="E35" s="15">
        <f t="shared" si="0"/>
        <v>265.23352383556619</v>
      </c>
    </row>
    <row r="36" spans="1:5">
      <c r="A36">
        <f t="shared" si="2"/>
        <v>34</v>
      </c>
      <c r="B36" s="15">
        <f t="shared" si="1"/>
        <v>265.23352383556619</v>
      </c>
      <c r="C36" s="15">
        <f>B36*Assumptions!$B$5</f>
        <v>15.914011430133971</v>
      </c>
      <c r="D36" s="15">
        <f>B36*Assumptions!$B$19</f>
        <v>7.9570057150669857</v>
      </c>
      <c r="E36" s="15">
        <f t="shared" si="0"/>
        <v>273.19052955063319</v>
      </c>
    </row>
    <row r="37" spans="1:5">
      <c r="A37">
        <f t="shared" si="2"/>
        <v>35</v>
      </c>
      <c r="B37" s="15">
        <f t="shared" si="1"/>
        <v>273.19052955063319</v>
      </c>
      <c r="C37" s="15">
        <f>B37*Assumptions!$B$5</f>
        <v>16.39143177303799</v>
      </c>
      <c r="D37" s="15">
        <f>B37*Assumptions!$B$19</f>
        <v>8.195715886518995</v>
      </c>
      <c r="E37" s="15">
        <f t="shared" si="0"/>
        <v>281.38624543715218</v>
      </c>
    </row>
    <row r="38" spans="1:5">
      <c r="A38">
        <f t="shared" si="2"/>
        <v>36</v>
      </c>
      <c r="B38" s="15">
        <f t="shared" si="1"/>
        <v>281.38624543715218</v>
      </c>
      <c r="C38" s="15">
        <f>B38*Assumptions!$B$5</f>
        <v>16.883174726229129</v>
      </c>
      <c r="D38" s="15">
        <f>B38*Assumptions!$B$19</f>
        <v>8.4415873631145644</v>
      </c>
      <c r="E38" s="15">
        <f t="shared" si="0"/>
        <v>289.82783280026672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D436C-ED2A-4D13-A4E4-8A7F77C1338C}">
  <dimension ref="A1:F38"/>
  <sheetViews>
    <sheetView zoomScale="70" zoomScaleNormal="70" workbookViewId="0">
      <selection activeCell="D4" sqref="D4"/>
    </sheetView>
  </sheetViews>
  <sheetFormatPr defaultRowHeight="14.4"/>
  <cols>
    <col min="1" max="1" width="18" customWidth="1"/>
    <col min="2" max="2" width="18.88671875" style="3" customWidth="1"/>
    <col min="3" max="3" width="19.21875" customWidth="1"/>
  </cols>
  <sheetData>
    <row r="1" spans="1:6">
      <c r="A1" s="25" t="s">
        <v>10</v>
      </c>
      <c r="B1" s="4" t="s">
        <v>11</v>
      </c>
      <c r="C1" s="7" t="s">
        <v>12</v>
      </c>
    </row>
    <row r="2" spans="1:6">
      <c r="A2" s="1"/>
      <c r="B2" s="8"/>
      <c r="C2" s="1"/>
    </row>
    <row r="3" spans="1:6">
      <c r="A3" s="5">
        <v>1</v>
      </c>
      <c r="B3" s="26">
        <f>Assumptions!$B$3</f>
        <v>100</v>
      </c>
      <c r="C3" s="45">
        <f>B3*Assumptions!$B$7</f>
        <v>50000</v>
      </c>
    </row>
    <row r="4" spans="1:6">
      <c r="A4" s="5">
        <v>2</v>
      </c>
      <c r="B4" s="26">
        <f>Customer_Model!E3</f>
        <v>103</v>
      </c>
      <c r="C4" s="45">
        <f>B4*Assumptions!$B$7</f>
        <v>51500</v>
      </c>
      <c r="F4" s="15"/>
    </row>
    <row r="5" spans="1:6">
      <c r="A5" s="5">
        <v>3</v>
      </c>
      <c r="B5" s="26">
        <f>Customer_Model!E4</f>
        <v>106.09</v>
      </c>
      <c r="C5" s="45">
        <f>B5*Assumptions!$B$7</f>
        <v>53045</v>
      </c>
    </row>
    <row r="6" spans="1:6">
      <c r="A6" s="5">
        <v>4</v>
      </c>
      <c r="B6" s="26">
        <f>Customer_Model!E5</f>
        <v>109.2727</v>
      </c>
      <c r="C6" s="45">
        <f>B6*Assumptions!$B$7</f>
        <v>54636.35</v>
      </c>
    </row>
    <row r="7" spans="1:6">
      <c r="A7" s="5">
        <v>5</v>
      </c>
      <c r="B7" s="26">
        <f>Customer_Model!E6</f>
        <v>112.55088099999999</v>
      </c>
      <c r="C7" s="45">
        <f>B7*Assumptions!$B$7</f>
        <v>56275.440499999997</v>
      </c>
    </row>
    <row r="8" spans="1:6">
      <c r="A8" s="5">
        <v>6</v>
      </c>
      <c r="B8" s="26">
        <f>Customer_Model!E7</f>
        <v>115.92740742999999</v>
      </c>
      <c r="C8" s="45">
        <f>B8*Assumptions!$B$7</f>
        <v>57963.703714999996</v>
      </c>
    </row>
    <row r="9" spans="1:6">
      <c r="A9" s="5">
        <v>7</v>
      </c>
      <c r="B9" s="26">
        <f>Customer_Model!E8</f>
        <v>119.40522965289999</v>
      </c>
      <c r="C9" s="45">
        <f>B9*Assumptions!$B$7</f>
        <v>59702.614826449993</v>
      </c>
    </row>
    <row r="10" spans="1:6">
      <c r="A10" s="5">
        <v>8</v>
      </c>
      <c r="B10" s="26">
        <f>Customer_Model!E9</f>
        <v>122.98738654248699</v>
      </c>
      <c r="C10" s="45">
        <f>B10*Assumptions!$B$7</f>
        <v>61493.693271243494</v>
      </c>
    </row>
    <row r="11" spans="1:6">
      <c r="A11" s="5">
        <v>9</v>
      </c>
      <c r="B11" s="26">
        <f>Customer_Model!E10</f>
        <v>126.67700813876161</v>
      </c>
      <c r="C11" s="45">
        <f>B11*Assumptions!$B$7</f>
        <v>63338.504069380804</v>
      </c>
    </row>
    <row r="12" spans="1:6">
      <c r="A12" s="5">
        <v>10</v>
      </c>
      <c r="B12" s="26">
        <f>Customer_Model!E11</f>
        <v>130.47731838292444</v>
      </c>
      <c r="C12" s="45">
        <f>B12*Assumptions!$B$7</f>
        <v>65238.659191462219</v>
      </c>
    </row>
    <row r="13" spans="1:6">
      <c r="A13" s="5">
        <v>11</v>
      </c>
      <c r="B13" s="26">
        <f>Customer_Model!E12</f>
        <v>134.39163793441219</v>
      </c>
      <c r="C13" s="45">
        <f>B13*Assumptions!$B$7</f>
        <v>67195.818967206098</v>
      </c>
    </row>
    <row r="14" spans="1:6">
      <c r="A14" s="5">
        <v>12</v>
      </c>
      <c r="B14" s="26">
        <f>Customer_Model!E13</f>
        <v>138.42338707244457</v>
      </c>
      <c r="C14" s="45">
        <f>B14*Assumptions!$B$7</f>
        <v>69211.693536222287</v>
      </c>
    </row>
    <row r="15" spans="1:6">
      <c r="A15" s="5">
        <v>13</v>
      </c>
      <c r="B15" s="26">
        <f>Customer_Model!E14</f>
        <v>142.5760886846179</v>
      </c>
      <c r="C15" s="45">
        <f>B15*Assumptions!$B$7</f>
        <v>71288.044342308945</v>
      </c>
    </row>
    <row r="16" spans="1:6">
      <c r="A16" s="5">
        <v>14</v>
      </c>
      <c r="B16" s="26">
        <f>Customer_Model!E15</f>
        <v>146.85337134515643</v>
      </c>
      <c r="C16" s="45">
        <f>B16*Assumptions!$B$7</f>
        <v>73426.685672578213</v>
      </c>
    </row>
    <row r="17" spans="1:3">
      <c r="A17" s="5">
        <v>15</v>
      </c>
      <c r="B17" s="26">
        <f>Customer_Model!E16</f>
        <v>151.25897248551112</v>
      </c>
      <c r="C17" s="45">
        <f>B17*Assumptions!$B$7</f>
        <v>75629.486242755564</v>
      </c>
    </row>
    <row r="18" spans="1:3">
      <c r="A18" s="5">
        <v>16</v>
      </c>
      <c r="B18" s="26">
        <f>Customer_Model!E17</f>
        <v>155.79674166007644</v>
      </c>
      <c r="C18" s="45">
        <f>B18*Assumptions!$B$7</f>
        <v>77898.370830038213</v>
      </c>
    </row>
    <row r="19" spans="1:3">
      <c r="A19" s="5">
        <v>17</v>
      </c>
      <c r="B19" s="26">
        <f>Customer_Model!E18</f>
        <v>160.47064390987873</v>
      </c>
      <c r="C19" s="45">
        <f>B19*Assumptions!$B$7</f>
        <v>80235.321954939369</v>
      </c>
    </row>
    <row r="20" spans="1:3">
      <c r="A20" s="5">
        <v>18</v>
      </c>
      <c r="B20" s="26">
        <f>Customer_Model!E19</f>
        <v>165.28476322717509</v>
      </c>
      <c r="C20" s="45">
        <f>B20*Assumptions!$B$7</f>
        <v>82642.381613587539</v>
      </c>
    </row>
    <row r="21" spans="1:3">
      <c r="A21" s="5">
        <v>19</v>
      </c>
      <c r="B21" s="26">
        <f>Customer_Model!E20</f>
        <v>170.24330612399032</v>
      </c>
      <c r="C21" s="45">
        <f>B21*Assumptions!$B$7</f>
        <v>85121.653061995166</v>
      </c>
    </row>
    <row r="22" spans="1:3">
      <c r="A22" s="5">
        <v>20</v>
      </c>
      <c r="B22" s="26">
        <f>Customer_Model!E21</f>
        <v>175.35060530771003</v>
      </c>
      <c r="C22" s="45">
        <f>B22*Assumptions!$B$7</f>
        <v>87675.302653855018</v>
      </c>
    </row>
    <row r="23" spans="1:3">
      <c r="A23" s="5">
        <v>21</v>
      </c>
      <c r="B23" s="26">
        <f>Customer_Model!E22</f>
        <v>180.61112346694131</v>
      </c>
      <c r="C23" s="45">
        <f>B23*Assumptions!$B$7</f>
        <v>90305.561733470648</v>
      </c>
    </row>
    <row r="24" spans="1:3">
      <c r="A24" s="5">
        <v>22</v>
      </c>
      <c r="B24" s="26">
        <f>Customer_Model!E23</f>
        <v>186.02945717094954</v>
      </c>
      <c r="C24" s="45">
        <f>B24*Assumptions!$B$7</f>
        <v>93014.728585474775</v>
      </c>
    </row>
    <row r="25" spans="1:3">
      <c r="A25" s="5">
        <v>23</v>
      </c>
      <c r="B25" s="26">
        <f>Customer_Model!E24</f>
        <v>191.61034088607801</v>
      </c>
      <c r="C25" s="45">
        <f>B25*Assumptions!$B$7</f>
        <v>95805.170443039009</v>
      </c>
    </row>
    <row r="26" spans="1:3">
      <c r="A26" s="5">
        <v>24</v>
      </c>
      <c r="B26" s="26">
        <f>Customer_Model!E25</f>
        <v>197.35865111266034</v>
      </c>
      <c r="C26" s="45">
        <f>B26*Assumptions!$B$7</f>
        <v>98679.325556330165</v>
      </c>
    </row>
    <row r="27" spans="1:3">
      <c r="A27" s="5">
        <v>25</v>
      </c>
      <c r="B27" s="26">
        <f>Customer_Model!E26</f>
        <v>203.27941064604013</v>
      </c>
      <c r="C27" s="45">
        <f>B27*Assumptions!$B$7</f>
        <v>101639.70532302007</v>
      </c>
    </row>
    <row r="28" spans="1:3">
      <c r="A28" s="5">
        <v>26</v>
      </c>
      <c r="B28" s="26">
        <f>Customer_Model!E27</f>
        <v>209.37779296542132</v>
      </c>
      <c r="C28" s="45">
        <f>B28*Assumptions!$B$7</f>
        <v>104688.89648271065</v>
      </c>
    </row>
    <row r="29" spans="1:3">
      <c r="A29" s="5">
        <v>27</v>
      </c>
      <c r="B29" s="26">
        <f>Customer_Model!E28</f>
        <v>215.65912675438398</v>
      </c>
      <c r="C29" s="45">
        <f>B29*Assumptions!$B$7</f>
        <v>107829.56337719198</v>
      </c>
    </row>
    <row r="30" spans="1:3">
      <c r="A30" s="5">
        <v>28</v>
      </c>
      <c r="B30" s="26">
        <f>Customer_Model!E29</f>
        <v>222.1289005570155</v>
      </c>
      <c r="C30" s="45">
        <f>B30*Assumptions!$B$7</f>
        <v>111064.45027850775</v>
      </c>
    </row>
    <row r="31" spans="1:3">
      <c r="A31" s="5">
        <v>29</v>
      </c>
      <c r="B31" s="26">
        <f>Customer_Model!E30</f>
        <v>228.79276757372597</v>
      </c>
      <c r="C31" s="45">
        <f>B31*Assumptions!$B$7</f>
        <v>114396.38378686298</v>
      </c>
    </row>
    <row r="32" spans="1:3">
      <c r="A32" s="5">
        <v>30</v>
      </c>
      <c r="B32" s="26">
        <f>Customer_Model!E31</f>
        <v>235.65655060093775</v>
      </c>
      <c r="C32" s="45">
        <f>B32*Assumptions!$B$7</f>
        <v>117828.27530046887</v>
      </c>
    </row>
    <row r="33" spans="1:3">
      <c r="A33" s="5">
        <v>31</v>
      </c>
      <c r="B33" s="26">
        <f>Customer_Model!E32</f>
        <v>242.72624711896589</v>
      </c>
      <c r="C33" s="45">
        <f>B33*Assumptions!$B$7</f>
        <v>121363.12355948295</v>
      </c>
    </row>
    <row r="34" spans="1:3">
      <c r="A34" s="5">
        <v>32</v>
      </c>
      <c r="B34" s="26">
        <f>Customer_Model!E33</f>
        <v>250.00803453253485</v>
      </c>
      <c r="C34" s="45">
        <f>B34*Assumptions!$B$7</f>
        <v>125004.01726626743</v>
      </c>
    </row>
    <row r="35" spans="1:3">
      <c r="A35" s="5">
        <v>33</v>
      </c>
      <c r="B35" s="26">
        <f>Customer_Model!E34</f>
        <v>257.5082755685109</v>
      </c>
      <c r="C35" s="45">
        <f>B35*Assumptions!$B$7</f>
        <v>128754.13778425545</v>
      </c>
    </row>
    <row r="36" spans="1:3">
      <c r="A36" s="5">
        <v>34</v>
      </c>
      <c r="B36" s="26">
        <f>Customer_Model!E35</f>
        <v>265.23352383556619</v>
      </c>
      <c r="C36" s="45">
        <f>B36*Assumptions!$B$7</f>
        <v>132616.76191778309</v>
      </c>
    </row>
    <row r="37" spans="1:3">
      <c r="A37" s="5">
        <v>35</v>
      </c>
      <c r="B37" s="26">
        <f>Customer_Model!E36</f>
        <v>273.19052955063319</v>
      </c>
      <c r="C37" s="45">
        <f>B37*Assumptions!$B$7</f>
        <v>136595.26477531658</v>
      </c>
    </row>
    <row r="38" spans="1:3">
      <c r="A38" s="6">
        <v>36</v>
      </c>
      <c r="B38" s="26">
        <f>Customer_Model!E37</f>
        <v>281.38624543715218</v>
      </c>
      <c r="C38" s="45">
        <f>B38*Assumptions!$B$7</f>
        <v>140693.12271857608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98C17-E603-4E91-99DA-7486DF2D1120}">
  <dimension ref="A1:F38"/>
  <sheetViews>
    <sheetView workbookViewId="0">
      <selection activeCell="C3" sqref="C3"/>
    </sheetView>
  </sheetViews>
  <sheetFormatPr defaultRowHeight="14.4"/>
  <cols>
    <col min="1" max="1" width="14.6640625" customWidth="1"/>
    <col min="2" max="2" width="20.21875" customWidth="1"/>
    <col min="3" max="3" width="12.33203125" customWidth="1"/>
    <col min="4" max="4" width="14.44140625" customWidth="1"/>
    <col min="5" max="5" width="15.109375" customWidth="1"/>
    <col min="6" max="6" width="11" customWidth="1"/>
  </cols>
  <sheetData>
    <row r="1" spans="1:6">
      <c r="A1" s="25" t="s">
        <v>10</v>
      </c>
      <c r="B1" s="25" t="s">
        <v>11</v>
      </c>
      <c r="C1" s="25" t="s">
        <v>17</v>
      </c>
      <c r="D1" s="25" t="s">
        <v>18</v>
      </c>
      <c r="E1" s="25" t="s">
        <v>6</v>
      </c>
      <c r="F1" s="18" t="s">
        <v>19</v>
      </c>
    </row>
    <row r="2" spans="1:6">
      <c r="A2" s="21"/>
      <c r="B2" s="22"/>
      <c r="C2" s="22"/>
      <c r="D2" s="22"/>
      <c r="E2" s="22"/>
      <c r="F2" s="23"/>
    </row>
    <row r="3" spans="1:6">
      <c r="A3" s="27">
        <f>Revenue_Model!A3</f>
        <v>1</v>
      </c>
      <c r="B3" s="28">
        <f>Revenue_Model!B3</f>
        <v>100</v>
      </c>
      <c r="C3" s="28">
        <f>B3*Assumptions!$B$9</f>
        <v>15000</v>
      </c>
      <c r="D3" s="27">
        <f>Assumptions!$B$11</f>
        <v>20000</v>
      </c>
      <c r="E3" s="27">
        <f>Assumptions!$B$13</f>
        <v>8000</v>
      </c>
      <c r="F3" s="19">
        <f>C3+D3+E3</f>
        <v>43000</v>
      </c>
    </row>
    <row r="4" spans="1:6">
      <c r="A4" s="8">
        <f>Revenue_Model!A4</f>
        <v>2</v>
      </c>
      <c r="B4" s="26">
        <f>Revenue_Model!B4</f>
        <v>103</v>
      </c>
      <c r="C4" s="26">
        <f>B4*Assumptions!$B$9</f>
        <v>15450</v>
      </c>
      <c r="D4" s="8">
        <f>Assumptions!$B$11</f>
        <v>20000</v>
      </c>
      <c r="E4" s="8">
        <f>Assumptions!$B$13</f>
        <v>8000</v>
      </c>
      <c r="F4" s="11">
        <f t="shared" ref="F4:F38" si="0">C4+D4+E4</f>
        <v>43450</v>
      </c>
    </row>
    <row r="5" spans="1:6">
      <c r="A5" s="8">
        <f>Revenue_Model!A5</f>
        <v>3</v>
      </c>
      <c r="B5" s="26">
        <f>Revenue_Model!B5</f>
        <v>106.09</v>
      </c>
      <c r="C5" s="26">
        <f>B5*Assumptions!$B$9</f>
        <v>15913.5</v>
      </c>
      <c r="D5" s="8">
        <f>Assumptions!$B$11</f>
        <v>20000</v>
      </c>
      <c r="E5" s="8">
        <f>Assumptions!$B$13</f>
        <v>8000</v>
      </c>
      <c r="F5" s="11">
        <f t="shared" si="0"/>
        <v>43913.5</v>
      </c>
    </row>
    <row r="6" spans="1:6">
      <c r="A6" s="8">
        <f>Revenue_Model!A6</f>
        <v>4</v>
      </c>
      <c r="B6" s="26">
        <f>Revenue_Model!B6</f>
        <v>109.2727</v>
      </c>
      <c r="C6" s="26">
        <f>B6*Assumptions!$B$9</f>
        <v>16390.904999999999</v>
      </c>
      <c r="D6" s="8">
        <f>Assumptions!$B$11</f>
        <v>20000</v>
      </c>
      <c r="E6" s="8">
        <f>Assumptions!$B$13</f>
        <v>8000</v>
      </c>
      <c r="F6" s="11">
        <f t="shared" si="0"/>
        <v>44390.904999999999</v>
      </c>
    </row>
    <row r="7" spans="1:6">
      <c r="A7" s="8">
        <f>Revenue_Model!A7</f>
        <v>5</v>
      </c>
      <c r="B7" s="26">
        <f>Revenue_Model!B7</f>
        <v>112.55088099999999</v>
      </c>
      <c r="C7" s="26">
        <f>B7*Assumptions!$B$9</f>
        <v>16882.632149999998</v>
      </c>
      <c r="D7" s="8">
        <f>Assumptions!$B$11</f>
        <v>20000</v>
      </c>
      <c r="E7" s="8">
        <f>Assumptions!$B$13</f>
        <v>8000</v>
      </c>
      <c r="F7" s="11">
        <f t="shared" si="0"/>
        <v>44882.632149999998</v>
      </c>
    </row>
    <row r="8" spans="1:6">
      <c r="A8" s="8">
        <f>Revenue_Model!A8</f>
        <v>6</v>
      </c>
      <c r="B8" s="26">
        <f>Revenue_Model!B8</f>
        <v>115.92740742999999</v>
      </c>
      <c r="C8" s="26">
        <f>B8*Assumptions!$B$9</f>
        <v>17389.1111145</v>
      </c>
      <c r="D8" s="8">
        <f>Assumptions!$B$11</f>
        <v>20000</v>
      </c>
      <c r="E8" s="8">
        <f>Assumptions!$B$13</f>
        <v>8000</v>
      </c>
      <c r="F8" s="11">
        <f t="shared" si="0"/>
        <v>45389.111114500003</v>
      </c>
    </row>
    <row r="9" spans="1:6">
      <c r="A9" s="8">
        <f>Revenue_Model!A9</f>
        <v>7</v>
      </c>
      <c r="B9" s="26">
        <f>Revenue_Model!B9</f>
        <v>119.40522965289999</v>
      </c>
      <c r="C9" s="26">
        <f>B9*Assumptions!$B$9</f>
        <v>17910.784447934999</v>
      </c>
      <c r="D9" s="8">
        <f>Assumptions!$B$11</f>
        <v>20000</v>
      </c>
      <c r="E9" s="8">
        <f>Assumptions!$B$13</f>
        <v>8000</v>
      </c>
      <c r="F9" s="11">
        <f t="shared" si="0"/>
        <v>45910.784447935002</v>
      </c>
    </row>
    <row r="10" spans="1:6">
      <c r="A10" s="8">
        <f>Revenue_Model!A10</f>
        <v>8</v>
      </c>
      <c r="B10" s="26">
        <f>Revenue_Model!B10</f>
        <v>122.98738654248699</v>
      </c>
      <c r="C10" s="26">
        <f>B10*Assumptions!$B$9</f>
        <v>18448.107981373047</v>
      </c>
      <c r="D10" s="8">
        <f>Assumptions!$B$11</f>
        <v>20000</v>
      </c>
      <c r="E10" s="8">
        <f>Assumptions!$B$13</f>
        <v>8000</v>
      </c>
      <c r="F10" s="11">
        <f t="shared" si="0"/>
        <v>46448.107981373047</v>
      </c>
    </row>
    <row r="11" spans="1:6">
      <c r="A11" s="8">
        <f>Revenue_Model!A11</f>
        <v>9</v>
      </c>
      <c r="B11" s="26">
        <f>Revenue_Model!B11</f>
        <v>126.67700813876161</v>
      </c>
      <c r="C11" s="26">
        <f>B11*Assumptions!$B$9</f>
        <v>19001.551220814243</v>
      </c>
      <c r="D11" s="8">
        <f>Assumptions!$B$11</f>
        <v>20000</v>
      </c>
      <c r="E11" s="8">
        <f>Assumptions!$B$13</f>
        <v>8000</v>
      </c>
      <c r="F11" s="11">
        <f t="shared" si="0"/>
        <v>47001.551220814246</v>
      </c>
    </row>
    <row r="12" spans="1:6">
      <c r="A12" s="8">
        <f>Revenue_Model!A12</f>
        <v>10</v>
      </c>
      <c r="B12" s="26">
        <f>Revenue_Model!B12</f>
        <v>130.47731838292444</v>
      </c>
      <c r="C12" s="26">
        <f>B12*Assumptions!$B$9</f>
        <v>19571.597757438667</v>
      </c>
      <c r="D12" s="8">
        <f>Assumptions!$B$11</f>
        <v>20000</v>
      </c>
      <c r="E12" s="8">
        <f>Assumptions!$B$13</f>
        <v>8000</v>
      </c>
      <c r="F12" s="11">
        <f t="shared" si="0"/>
        <v>47571.597757438663</v>
      </c>
    </row>
    <row r="13" spans="1:6">
      <c r="A13" s="8">
        <f>Revenue_Model!A13</f>
        <v>11</v>
      </c>
      <c r="B13" s="26">
        <f>Revenue_Model!B13</f>
        <v>134.39163793441219</v>
      </c>
      <c r="C13" s="26">
        <f>B13*Assumptions!$B$9</f>
        <v>20158.745690161828</v>
      </c>
      <c r="D13" s="8">
        <f>Assumptions!$B$11</f>
        <v>20000</v>
      </c>
      <c r="E13" s="8">
        <f>Assumptions!$B$13</f>
        <v>8000</v>
      </c>
      <c r="F13" s="11">
        <f t="shared" si="0"/>
        <v>48158.745690161828</v>
      </c>
    </row>
    <row r="14" spans="1:6">
      <c r="A14" s="8">
        <f>Revenue_Model!A14</f>
        <v>12</v>
      </c>
      <c r="B14" s="26">
        <f>Revenue_Model!B14</f>
        <v>138.42338707244457</v>
      </c>
      <c r="C14" s="26">
        <f>B14*Assumptions!$B$9</f>
        <v>20763.508060866687</v>
      </c>
      <c r="D14" s="8">
        <f>Assumptions!$B$11</f>
        <v>20000</v>
      </c>
      <c r="E14" s="8">
        <f>Assumptions!$B$13</f>
        <v>8000</v>
      </c>
      <c r="F14" s="11">
        <f t="shared" si="0"/>
        <v>48763.50806086669</v>
      </c>
    </row>
    <row r="15" spans="1:6">
      <c r="A15" s="8">
        <f>Revenue_Model!A15</f>
        <v>13</v>
      </c>
      <c r="B15" s="26">
        <f>Revenue_Model!B15</f>
        <v>142.5760886846179</v>
      </c>
      <c r="C15" s="26">
        <f>B15*Assumptions!$B$9</f>
        <v>21386.413302692687</v>
      </c>
      <c r="D15" s="8">
        <f>Assumptions!$B$11</f>
        <v>20000</v>
      </c>
      <c r="E15" s="8">
        <f>Assumptions!$B$13</f>
        <v>8000</v>
      </c>
      <c r="F15" s="11">
        <f t="shared" si="0"/>
        <v>49386.413302692687</v>
      </c>
    </row>
    <row r="16" spans="1:6">
      <c r="A16" s="8">
        <f>Revenue_Model!A16</f>
        <v>14</v>
      </c>
      <c r="B16" s="26">
        <f>Revenue_Model!B16</f>
        <v>146.85337134515643</v>
      </c>
      <c r="C16" s="26">
        <f>B16*Assumptions!$B$9</f>
        <v>22028.005701773465</v>
      </c>
      <c r="D16" s="8">
        <f>Assumptions!$B$11</f>
        <v>20000</v>
      </c>
      <c r="E16" s="8">
        <f>Assumptions!$B$13</f>
        <v>8000</v>
      </c>
      <c r="F16" s="11">
        <f t="shared" si="0"/>
        <v>50028.005701773465</v>
      </c>
    </row>
    <row r="17" spans="1:6">
      <c r="A17" s="8">
        <f>Revenue_Model!A17</f>
        <v>15</v>
      </c>
      <c r="B17" s="26">
        <f>Revenue_Model!B17</f>
        <v>151.25897248551112</v>
      </c>
      <c r="C17" s="26">
        <f>B17*Assumptions!$B$9</f>
        <v>22688.845872826667</v>
      </c>
      <c r="D17" s="8">
        <f>Assumptions!$B$11</f>
        <v>20000</v>
      </c>
      <c r="E17" s="8">
        <f>Assumptions!$B$13</f>
        <v>8000</v>
      </c>
      <c r="F17" s="11">
        <f t="shared" si="0"/>
        <v>50688.845872826671</v>
      </c>
    </row>
    <row r="18" spans="1:6">
      <c r="A18" s="8">
        <f>Revenue_Model!A18</f>
        <v>16</v>
      </c>
      <c r="B18" s="26">
        <f>Revenue_Model!B18</f>
        <v>155.79674166007644</v>
      </c>
      <c r="C18" s="26">
        <f>B18*Assumptions!$B$9</f>
        <v>23369.511249011466</v>
      </c>
      <c r="D18" s="8">
        <f>Assumptions!$B$11</f>
        <v>20000</v>
      </c>
      <c r="E18" s="8">
        <f>Assumptions!$B$13</f>
        <v>8000</v>
      </c>
      <c r="F18" s="11">
        <f t="shared" si="0"/>
        <v>51369.51124901147</v>
      </c>
    </row>
    <row r="19" spans="1:6">
      <c r="A19" s="8">
        <f>Revenue_Model!A19</f>
        <v>17</v>
      </c>
      <c r="B19" s="26">
        <f>Revenue_Model!B19</f>
        <v>160.47064390987873</v>
      </c>
      <c r="C19" s="26">
        <f>B19*Assumptions!$B$9</f>
        <v>24070.59658648181</v>
      </c>
      <c r="D19" s="8">
        <f>Assumptions!$B$11</f>
        <v>20000</v>
      </c>
      <c r="E19" s="8">
        <f>Assumptions!$B$13</f>
        <v>8000</v>
      </c>
      <c r="F19" s="11">
        <f t="shared" si="0"/>
        <v>52070.596586481814</v>
      </c>
    </row>
    <row r="20" spans="1:6">
      <c r="A20" s="8">
        <f>Revenue_Model!A20</f>
        <v>18</v>
      </c>
      <c r="B20" s="26">
        <f>Revenue_Model!B20</f>
        <v>165.28476322717509</v>
      </c>
      <c r="C20" s="26">
        <f>B20*Assumptions!$B$9</f>
        <v>24792.714484076263</v>
      </c>
      <c r="D20" s="8">
        <f>Assumptions!$B$11</f>
        <v>20000</v>
      </c>
      <c r="E20" s="8">
        <f>Assumptions!$B$13</f>
        <v>8000</v>
      </c>
      <c r="F20" s="11">
        <f t="shared" si="0"/>
        <v>52792.714484076263</v>
      </c>
    </row>
    <row r="21" spans="1:6">
      <c r="A21" s="8">
        <f>Revenue_Model!A21</f>
        <v>19</v>
      </c>
      <c r="B21" s="26">
        <f>Revenue_Model!B21</f>
        <v>170.24330612399032</v>
      </c>
      <c r="C21" s="26">
        <f>B21*Assumptions!$B$9</f>
        <v>25536.49591859855</v>
      </c>
      <c r="D21" s="8">
        <f>Assumptions!$B$11</f>
        <v>20000</v>
      </c>
      <c r="E21" s="8">
        <f>Assumptions!$B$13</f>
        <v>8000</v>
      </c>
      <c r="F21" s="11">
        <f t="shared" si="0"/>
        <v>53536.49591859855</v>
      </c>
    </row>
    <row r="22" spans="1:6">
      <c r="A22" s="8">
        <f>Revenue_Model!A22</f>
        <v>20</v>
      </c>
      <c r="B22" s="26">
        <f>Revenue_Model!B22</f>
        <v>175.35060530771003</v>
      </c>
      <c r="C22" s="26">
        <f>B22*Assumptions!$B$9</f>
        <v>26302.590796156503</v>
      </c>
      <c r="D22" s="8">
        <f>Assumptions!$B$11</f>
        <v>20000</v>
      </c>
      <c r="E22" s="8">
        <f>Assumptions!$B$13</f>
        <v>8000</v>
      </c>
      <c r="F22" s="11">
        <f t="shared" si="0"/>
        <v>54302.590796156503</v>
      </c>
    </row>
    <row r="23" spans="1:6">
      <c r="A23" s="8">
        <f>Revenue_Model!A23</f>
        <v>21</v>
      </c>
      <c r="B23" s="26">
        <f>Revenue_Model!B23</f>
        <v>180.61112346694131</v>
      </c>
      <c r="C23" s="26">
        <f>B23*Assumptions!$B$9</f>
        <v>27091.668520041196</v>
      </c>
      <c r="D23" s="8">
        <f>Assumptions!$B$11</f>
        <v>20000</v>
      </c>
      <c r="E23" s="8">
        <f>Assumptions!$B$13</f>
        <v>8000</v>
      </c>
      <c r="F23" s="11">
        <f t="shared" si="0"/>
        <v>55091.668520041196</v>
      </c>
    </row>
    <row r="24" spans="1:6">
      <c r="A24" s="8">
        <f>Revenue_Model!A24</f>
        <v>22</v>
      </c>
      <c r="B24" s="26">
        <f>Revenue_Model!B24</f>
        <v>186.02945717094954</v>
      </c>
      <c r="C24" s="26">
        <f>B24*Assumptions!$B$9</f>
        <v>27904.41857564243</v>
      </c>
      <c r="D24" s="8">
        <f>Assumptions!$B$11</f>
        <v>20000</v>
      </c>
      <c r="E24" s="8">
        <f>Assumptions!$B$13</f>
        <v>8000</v>
      </c>
      <c r="F24" s="11">
        <f t="shared" si="0"/>
        <v>55904.418575642427</v>
      </c>
    </row>
    <row r="25" spans="1:6">
      <c r="A25" s="8">
        <f>Revenue_Model!A25</f>
        <v>23</v>
      </c>
      <c r="B25" s="26">
        <f>Revenue_Model!B25</f>
        <v>191.61034088607801</v>
      </c>
      <c r="C25" s="26">
        <f>B25*Assumptions!$B$9</f>
        <v>28741.5511329117</v>
      </c>
      <c r="D25" s="8">
        <f>Assumptions!$B$11</f>
        <v>20000</v>
      </c>
      <c r="E25" s="8">
        <f>Assumptions!$B$13</f>
        <v>8000</v>
      </c>
      <c r="F25" s="11">
        <f t="shared" si="0"/>
        <v>56741.5511329117</v>
      </c>
    </row>
    <row r="26" spans="1:6">
      <c r="A26" s="8">
        <f>Revenue_Model!A26</f>
        <v>24</v>
      </c>
      <c r="B26" s="26">
        <f>Revenue_Model!B26</f>
        <v>197.35865111266034</v>
      </c>
      <c r="C26" s="26">
        <f>B26*Assumptions!$B$9</f>
        <v>29603.797666899052</v>
      </c>
      <c r="D26" s="8">
        <f>Assumptions!$B$11</f>
        <v>20000</v>
      </c>
      <c r="E26" s="8">
        <f>Assumptions!$B$13</f>
        <v>8000</v>
      </c>
      <c r="F26" s="11">
        <f t="shared" si="0"/>
        <v>57603.797666899052</v>
      </c>
    </row>
    <row r="27" spans="1:6">
      <c r="A27" s="8">
        <f>Revenue_Model!A27</f>
        <v>25</v>
      </c>
      <c r="B27" s="26">
        <f>Revenue_Model!B27</f>
        <v>203.27941064604013</v>
      </c>
      <c r="C27" s="26">
        <f>B27*Assumptions!$B$9</f>
        <v>30491.911596906019</v>
      </c>
      <c r="D27" s="8">
        <f>Assumptions!$B$11</f>
        <v>20000</v>
      </c>
      <c r="E27" s="8">
        <f>Assumptions!$B$13</f>
        <v>8000</v>
      </c>
      <c r="F27" s="11">
        <f t="shared" si="0"/>
        <v>58491.911596906022</v>
      </c>
    </row>
    <row r="28" spans="1:6">
      <c r="A28" s="8">
        <f>Revenue_Model!A28</f>
        <v>26</v>
      </c>
      <c r="B28" s="26">
        <f>Revenue_Model!B28</f>
        <v>209.37779296542132</v>
      </c>
      <c r="C28" s="26">
        <f>B28*Assumptions!$B$9</f>
        <v>31406.668944813198</v>
      </c>
      <c r="D28" s="8">
        <f>Assumptions!$B$11</f>
        <v>20000</v>
      </c>
      <c r="E28" s="8">
        <f>Assumptions!$B$13</f>
        <v>8000</v>
      </c>
      <c r="F28" s="11">
        <f t="shared" si="0"/>
        <v>59406.668944813195</v>
      </c>
    </row>
    <row r="29" spans="1:6">
      <c r="A29" s="8">
        <f>Revenue_Model!A29</f>
        <v>27</v>
      </c>
      <c r="B29" s="26">
        <f>Revenue_Model!B29</f>
        <v>215.65912675438398</v>
      </c>
      <c r="C29" s="26">
        <f>B29*Assumptions!$B$9</f>
        <v>32348.869013157597</v>
      </c>
      <c r="D29" s="8">
        <f>Assumptions!$B$11</f>
        <v>20000</v>
      </c>
      <c r="E29" s="8">
        <f>Assumptions!$B$13</f>
        <v>8000</v>
      </c>
      <c r="F29" s="11">
        <f t="shared" si="0"/>
        <v>60348.8690131576</v>
      </c>
    </row>
    <row r="30" spans="1:6">
      <c r="A30" s="8">
        <f>Revenue_Model!A30</f>
        <v>28</v>
      </c>
      <c r="B30" s="26">
        <f>Revenue_Model!B30</f>
        <v>222.1289005570155</v>
      </c>
      <c r="C30" s="26">
        <f>B30*Assumptions!$B$9</f>
        <v>33319.335083552323</v>
      </c>
      <c r="D30" s="8">
        <f>Assumptions!$B$11</f>
        <v>20000</v>
      </c>
      <c r="E30" s="8">
        <f>Assumptions!$B$13</f>
        <v>8000</v>
      </c>
      <c r="F30" s="11">
        <f t="shared" si="0"/>
        <v>61319.335083552323</v>
      </c>
    </row>
    <row r="31" spans="1:6">
      <c r="A31" s="8">
        <f>Revenue_Model!A31</f>
        <v>29</v>
      </c>
      <c r="B31" s="26">
        <f>Revenue_Model!B31</f>
        <v>228.79276757372597</v>
      </c>
      <c r="C31" s="26">
        <f>B31*Assumptions!$B$9</f>
        <v>34318.915136058895</v>
      </c>
      <c r="D31" s="8">
        <f>Assumptions!$B$11</f>
        <v>20000</v>
      </c>
      <c r="E31" s="8">
        <f>Assumptions!$B$13</f>
        <v>8000</v>
      </c>
      <c r="F31" s="11">
        <f t="shared" si="0"/>
        <v>62318.915136058895</v>
      </c>
    </row>
    <row r="32" spans="1:6">
      <c r="A32" s="8">
        <f>Revenue_Model!A32</f>
        <v>30</v>
      </c>
      <c r="B32" s="26">
        <f>Revenue_Model!B32</f>
        <v>235.65655060093775</v>
      </c>
      <c r="C32" s="26">
        <f>B32*Assumptions!$B$9</f>
        <v>35348.482590140666</v>
      </c>
      <c r="D32" s="8">
        <f>Assumptions!$B$11</f>
        <v>20000</v>
      </c>
      <c r="E32" s="8">
        <f>Assumptions!$B$13</f>
        <v>8000</v>
      </c>
      <c r="F32" s="11">
        <f t="shared" si="0"/>
        <v>63348.482590140666</v>
      </c>
    </row>
    <row r="33" spans="1:6">
      <c r="A33" s="8">
        <f>Revenue_Model!A33</f>
        <v>31</v>
      </c>
      <c r="B33" s="26">
        <f>Revenue_Model!B33</f>
        <v>242.72624711896589</v>
      </c>
      <c r="C33" s="26">
        <f>B33*Assumptions!$B$9</f>
        <v>36408.937067844883</v>
      </c>
      <c r="D33" s="8">
        <f>Assumptions!$B$11</f>
        <v>20000</v>
      </c>
      <c r="E33" s="8">
        <f>Assumptions!$B$13</f>
        <v>8000</v>
      </c>
      <c r="F33" s="11">
        <f t="shared" si="0"/>
        <v>64408.937067844883</v>
      </c>
    </row>
    <row r="34" spans="1:6">
      <c r="A34" s="8">
        <f>Revenue_Model!A34</f>
        <v>32</v>
      </c>
      <c r="B34" s="26">
        <f>Revenue_Model!B34</f>
        <v>250.00803453253485</v>
      </c>
      <c r="C34" s="26">
        <f>B34*Assumptions!$B$9</f>
        <v>37501.205179880228</v>
      </c>
      <c r="D34" s="8">
        <f>Assumptions!$B$11</f>
        <v>20000</v>
      </c>
      <c r="E34" s="8">
        <f>Assumptions!$B$13</f>
        <v>8000</v>
      </c>
      <c r="F34" s="11">
        <f t="shared" si="0"/>
        <v>65501.205179880228</v>
      </c>
    </row>
    <row r="35" spans="1:6">
      <c r="A35" s="8">
        <f>Revenue_Model!A35</f>
        <v>33</v>
      </c>
      <c r="B35" s="26">
        <f>Revenue_Model!B35</f>
        <v>257.5082755685109</v>
      </c>
      <c r="C35" s="26">
        <f>B35*Assumptions!$B$9</f>
        <v>38626.241335276638</v>
      </c>
      <c r="D35" s="8">
        <f>Assumptions!$B$11</f>
        <v>20000</v>
      </c>
      <c r="E35" s="8">
        <f>Assumptions!$B$13</f>
        <v>8000</v>
      </c>
      <c r="F35" s="11">
        <f t="shared" si="0"/>
        <v>66626.241335276631</v>
      </c>
    </row>
    <row r="36" spans="1:6">
      <c r="A36" s="8">
        <f>Revenue_Model!A36</f>
        <v>34</v>
      </c>
      <c r="B36" s="26">
        <f>Revenue_Model!B36</f>
        <v>265.23352383556619</v>
      </c>
      <c r="C36" s="26">
        <f>B36*Assumptions!$B$9</f>
        <v>39785.028575334931</v>
      </c>
      <c r="D36" s="8">
        <f>Assumptions!$B$11</f>
        <v>20000</v>
      </c>
      <c r="E36" s="8">
        <f>Assumptions!$B$13</f>
        <v>8000</v>
      </c>
      <c r="F36" s="11">
        <f t="shared" si="0"/>
        <v>67785.028575334931</v>
      </c>
    </row>
    <row r="37" spans="1:6">
      <c r="A37" s="8">
        <f>Revenue_Model!A37</f>
        <v>35</v>
      </c>
      <c r="B37" s="26">
        <f>Revenue_Model!B37</f>
        <v>273.19052955063319</v>
      </c>
      <c r="C37" s="26">
        <f>B37*Assumptions!$B$9</f>
        <v>40978.579432594976</v>
      </c>
      <c r="D37" s="8">
        <f>Assumptions!$B$11</f>
        <v>20000</v>
      </c>
      <c r="E37" s="8">
        <f>Assumptions!$B$13</f>
        <v>8000</v>
      </c>
      <c r="F37" s="11">
        <f t="shared" si="0"/>
        <v>68978.579432594968</v>
      </c>
    </row>
    <row r="38" spans="1:6">
      <c r="A38" s="9">
        <f>Revenue_Model!A38</f>
        <v>36</v>
      </c>
      <c r="B38" s="24">
        <f>Revenue_Model!B38</f>
        <v>281.38624543715218</v>
      </c>
      <c r="C38" s="24">
        <f>B38*Assumptions!$B$9</f>
        <v>42207.93681557283</v>
      </c>
      <c r="D38" s="9">
        <f>Assumptions!$B$11</f>
        <v>20000</v>
      </c>
      <c r="E38" s="9">
        <f>Assumptions!$B$13</f>
        <v>8000</v>
      </c>
      <c r="F38" s="20">
        <f t="shared" si="0"/>
        <v>70207.93681557283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9BD96-B1B6-4E5A-888D-DC8F57220D21}">
  <dimension ref="A1:G38"/>
  <sheetViews>
    <sheetView zoomScale="85" zoomScaleNormal="85" workbookViewId="0">
      <selection activeCell="G13" sqref="G13:G38"/>
    </sheetView>
  </sheetViews>
  <sheetFormatPr defaultRowHeight="14.4"/>
  <cols>
    <col min="2" max="2" width="13.109375" customWidth="1"/>
    <col min="3" max="3" width="16.88671875" customWidth="1"/>
    <col min="4" max="4" width="15" customWidth="1"/>
    <col min="5" max="5" width="21.77734375" customWidth="1"/>
    <col min="6" max="6" width="27.109375" customWidth="1"/>
    <col min="7" max="7" width="20.6640625" customWidth="1"/>
  </cols>
  <sheetData>
    <row r="1" spans="1:7">
      <c r="A1" s="14" t="s">
        <v>10</v>
      </c>
      <c r="B1" s="10" t="s">
        <v>12</v>
      </c>
      <c r="C1" s="14" t="s">
        <v>19</v>
      </c>
      <c r="D1" s="14" t="s">
        <v>23</v>
      </c>
      <c r="E1" s="14" t="s">
        <v>24</v>
      </c>
      <c r="F1" s="14" t="s">
        <v>25</v>
      </c>
      <c r="G1" s="10" t="s">
        <v>26</v>
      </c>
    </row>
    <row r="2" spans="1:7">
      <c r="B2" s="10"/>
    </row>
    <row r="3" spans="1:7">
      <c r="A3">
        <v>1</v>
      </c>
      <c r="B3" s="15">
        <f>Revenue_Model!C3</f>
        <v>50000</v>
      </c>
      <c r="C3" s="15">
        <f>Cost_Model!F3</f>
        <v>43000</v>
      </c>
      <c r="D3" s="15">
        <f>B3-C3</f>
        <v>7000</v>
      </c>
      <c r="E3">
        <f>Assumptions!$B$7-Assumptions!$B$9</f>
        <v>350</v>
      </c>
      <c r="F3">
        <f>Assumptions!$B$11/E3</f>
        <v>57.142857142857146</v>
      </c>
      <c r="G3" s="15">
        <f>D3</f>
        <v>7000</v>
      </c>
    </row>
    <row r="4" spans="1:7">
      <c r="A4">
        <v>2</v>
      </c>
      <c r="B4" s="15">
        <f>Revenue_Model!C4</f>
        <v>51500</v>
      </c>
      <c r="C4" s="15">
        <f>Cost_Model!F4</f>
        <v>43450</v>
      </c>
      <c r="D4" s="15">
        <f t="shared" ref="D4:D38" si="0">B4-C4</f>
        <v>8050</v>
      </c>
      <c r="E4">
        <f>Assumptions!$B$7-Assumptions!$B$9</f>
        <v>350</v>
      </c>
      <c r="F4">
        <f>Assumptions!$B$11/E4</f>
        <v>57.142857142857146</v>
      </c>
      <c r="G4" s="15">
        <f>G3+D4</f>
        <v>15050</v>
      </c>
    </row>
    <row r="5" spans="1:7">
      <c r="A5">
        <v>3</v>
      </c>
      <c r="B5" s="15">
        <f>Revenue_Model!C5</f>
        <v>53045</v>
      </c>
      <c r="C5" s="15">
        <f>Cost_Model!F5</f>
        <v>43913.5</v>
      </c>
      <c r="D5" s="15">
        <f t="shared" si="0"/>
        <v>9131.5</v>
      </c>
      <c r="E5">
        <f>Assumptions!$B$7-Assumptions!$B$9</f>
        <v>350</v>
      </c>
      <c r="F5">
        <f>Assumptions!$B$11/E5</f>
        <v>57.142857142857146</v>
      </c>
      <c r="G5" s="15">
        <f t="shared" ref="G5:G38" si="1">G4+D5</f>
        <v>24181.5</v>
      </c>
    </row>
    <row r="6" spans="1:7">
      <c r="A6">
        <v>4</v>
      </c>
      <c r="B6" s="15">
        <f>Revenue_Model!C6</f>
        <v>54636.35</v>
      </c>
      <c r="C6" s="15">
        <f>Cost_Model!F6</f>
        <v>44390.904999999999</v>
      </c>
      <c r="D6" s="15">
        <f t="shared" si="0"/>
        <v>10245.445</v>
      </c>
      <c r="E6">
        <f>Assumptions!$B$7-Assumptions!$B$9</f>
        <v>350</v>
      </c>
      <c r="F6">
        <f>Assumptions!$B$11/E6</f>
        <v>57.142857142857146</v>
      </c>
      <c r="G6" s="15">
        <f t="shared" si="1"/>
        <v>34426.945</v>
      </c>
    </row>
    <row r="7" spans="1:7">
      <c r="A7">
        <v>5</v>
      </c>
      <c r="B7" s="15">
        <f>Revenue_Model!C7</f>
        <v>56275.440499999997</v>
      </c>
      <c r="C7" s="15">
        <f>Cost_Model!F7</f>
        <v>44882.632149999998</v>
      </c>
      <c r="D7" s="15">
        <f t="shared" si="0"/>
        <v>11392.808349999999</v>
      </c>
      <c r="E7">
        <f>Assumptions!$B$7-Assumptions!$B$9</f>
        <v>350</v>
      </c>
      <c r="F7">
        <f>Assumptions!$B$11/E7</f>
        <v>57.142857142857146</v>
      </c>
      <c r="G7" s="15">
        <f t="shared" si="1"/>
        <v>45819.753349999999</v>
      </c>
    </row>
    <row r="8" spans="1:7">
      <c r="A8">
        <v>6</v>
      </c>
      <c r="B8" s="15">
        <f>Revenue_Model!C8</f>
        <v>57963.703714999996</v>
      </c>
      <c r="C8" s="15">
        <f>Cost_Model!F8</f>
        <v>45389.111114500003</v>
      </c>
      <c r="D8" s="15">
        <f t="shared" si="0"/>
        <v>12574.592600499993</v>
      </c>
      <c r="E8">
        <f>Assumptions!$B$7-Assumptions!$B$9</f>
        <v>350</v>
      </c>
      <c r="F8">
        <f>Assumptions!$B$11/E8</f>
        <v>57.142857142857146</v>
      </c>
      <c r="G8" s="15">
        <f t="shared" si="1"/>
        <v>58394.345950499992</v>
      </c>
    </row>
    <row r="9" spans="1:7">
      <c r="A9">
        <v>7</v>
      </c>
      <c r="B9" s="15">
        <f>Revenue_Model!C9</f>
        <v>59702.614826449993</v>
      </c>
      <c r="C9" s="15">
        <f>Cost_Model!F9</f>
        <v>45910.784447935002</v>
      </c>
      <c r="D9" s="15">
        <f t="shared" si="0"/>
        <v>13791.830378514991</v>
      </c>
      <c r="E9">
        <f>Assumptions!$B$7-Assumptions!$B$9</f>
        <v>350</v>
      </c>
      <c r="F9">
        <f>Assumptions!$B$11/E9</f>
        <v>57.142857142857146</v>
      </c>
      <c r="G9" s="15">
        <f t="shared" si="1"/>
        <v>72186.176329014983</v>
      </c>
    </row>
    <row r="10" spans="1:7">
      <c r="A10">
        <v>8</v>
      </c>
      <c r="B10" s="15">
        <f>Revenue_Model!C10</f>
        <v>61493.693271243494</v>
      </c>
      <c r="C10" s="15">
        <f>Cost_Model!F10</f>
        <v>46448.107981373047</v>
      </c>
      <c r="D10" s="15">
        <f t="shared" si="0"/>
        <v>15045.585289870447</v>
      </c>
      <c r="E10">
        <f>Assumptions!$B$7-Assumptions!$B$9</f>
        <v>350</v>
      </c>
      <c r="F10">
        <f>Assumptions!$B$11/E10</f>
        <v>57.142857142857146</v>
      </c>
      <c r="G10" s="15">
        <f t="shared" si="1"/>
        <v>87231.76161888543</v>
      </c>
    </row>
    <row r="11" spans="1:7">
      <c r="A11">
        <v>9</v>
      </c>
      <c r="B11" s="15">
        <f>Revenue_Model!C11</f>
        <v>63338.504069380804</v>
      </c>
      <c r="C11" s="15">
        <f>Cost_Model!F11</f>
        <v>47001.551220814246</v>
      </c>
      <c r="D11" s="15">
        <f t="shared" si="0"/>
        <v>16336.952848566558</v>
      </c>
      <c r="E11">
        <f>Assumptions!$B$7-Assumptions!$B$9</f>
        <v>350</v>
      </c>
      <c r="F11">
        <f>Assumptions!$B$11/E11</f>
        <v>57.142857142857146</v>
      </c>
      <c r="G11" s="15">
        <f t="shared" si="1"/>
        <v>103568.714467452</v>
      </c>
    </row>
    <row r="12" spans="1:7">
      <c r="A12">
        <v>10</v>
      </c>
      <c r="B12" s="15">
        <f>Revenue_Model!C12</f>
        <v>65238.659191462219</v>
      </c>
      <c r="C12" s="15">
        <f>Cost_Model!F12</f>
        <v>47571.597757438663</v>
      </c>
      <c r="D12" s="15">
        <f t="shared" si="0"/>
        <v>17667.061434023555</v>
      </c>
      <c r="E12">
        <f>Assumptions!$B$7-Assumptions!$B$9</f>
        <v>350</v>
      </c>
      <c r="F12">
        <f>Assumptions!$B$11/E12</f>
        <v>57.142857142857146</v>
      </c>
      <c r="G12" s="15">
        <f t="shared" si="1"/>
        <v>121235.77590147554</v>
      </c>
    </row>
    <row r="13" spans="1:7">
      <c r="A13">
        <v>11</v>
      </c>
      <c r="B13" s="15">
        <f>Revenue_Model!C13</f>
        <v>67195.818967206098</v>
      </c>
      <c r="C13" s="15">
        <f>Cost_Model!F13</f>
        <v>48158.745690161828</v>
      </c>
      <c r="D13" s="15">
        <f t="shared" si="0"/>
        <v>19037.07327704427</v>
      </c>
      <c r="E13">
        <f>Assumptions!$B$7-Assumptions!$B$9</f>
        <v>350</v>
      </c>
      <c r="F13">
        <f>Assumptions!$B$11/E13</f>
        <v>57.142857142857146</v>
      </c>
      <c r="G13" s="15">
        <f t="shared" si="1"/>
        <v>140272.8491785198</v>
      </c>
    </row>
    <row r="14" spans="1:7">
      <c r="A14">
        <v>12</v>
      </c>
      <c r="B14" s="15">
        <f>Revenue_Model!C14</f>
        <v>69211.693536222287</v>
      </c>
      <c r="C14" s="15">
        <f>Cost_Model!F14</f>
        <v>48763.50806086669</v>
      </c>
      <c r="D14" s="15">
        <f t="shared" si="0"/>
        <v>20448.185475355596</v>
      </c>
      <c r="E14">
        <f>Assumptions!$B$7-Assumptions!$B$9</f>
        <v>350</v>
      </c>
      <c r="F14">
        <f>Assumptions!$B$11/E14</f>
        <v>57.142857142857146</v>
      </c>
      <c r="G14" s="15">
        <f t="shared" si="1"/>
        <v>160721.03465387539</v>
      </c>
    </row>
    <row r="15" spans="1:7">
      <c r="A15">
        <v>13</v>
      </c>
      <c r="B15" s="15">
        <f>Revenue_Model!C15</f>
        <v>71288.044342308945</v>
      </c>
      <c r="C15" s="15">
        <f>Cost_Model!F15</f>
        <v>49386.413302692687</v>
      </c>
      <c r="D15" s="15">
        <f t="shared" si="0"/>
        <v>21901.631039616259</v>
      </c>
      <c r="E15">
        <f>Assumptions!$B$7-Assumptions!$B$9</f>
        <v>350</v>
      </c>
      <c r="F15">
        <f>Assumptions!$B$11/E15</f>
        <v>57.142857142857146</v>
      </c>
      <c r="G15" s="15">
        <f t="shared" si="1"/>
        <v>182622.66569349164</v>
      </c>
    </row>
    <row r="16" spans="1:7">
      <c r="A16">
        <v>14</v>
      </c>
      <c r="B16" s="15">
        <f>Revenue_Model!C16</f>
        <v>73426.685672578213</v>
      </c>
      <c r="C16" s="15">
        <f>Cost_Model!F16</f>
        <v>50028.005701773465</v>
      </c>
      <c r="D16" s="15">
        <f t="shared" si="0"/>
        <v>23398.679970804747</v>
      </c>
      <c r="E16">
        <f>Assumptions!$B$7-Assumptions!$B$9</f>
        <v>350</v>
      </c>
      <c r="F16">
        <f>Assumptions!$B$11/E16</f>
        <v>57.142857142857146</v>
      </c>
      <c r="G16" s="15">
        <f t="shared" si="1"/>
        <v>206021.34566429639</v>
      </c>
    </row>
    <row r="17" spans="1:7">
      <c r="A17">
        <v>15</v>
      </c>
      <c r="B17" s="15">
        <f>Revenue_Model!C17</f>
        <v>75629.486242755564</v>
      </c>
      <c r="C17" s="15">
        <f>Cost_Model!F17</f>
        <v>50688.845872826671</v>
      </c>
      <c r="D17" s="15">
        <f t="shared" si="0"/>
        <v>24940.640369928893</v>
      </c>
      <c r="E17">
        <f>Assumptions!$B$7-Assumptions!$B$9</f>
        <v>350</v>
      </c>
      <c r="F17">
        <f>Assumptions!$B$11/E17</f>
        <v>57.142857142857146</v>
      </c>
      <c r="G17" s="15">
        <f t="shared" si="1"/>
        <v>230961.98603422527</v>
      </c>
    </row>
    <row r="18" spans="1:7">
      <c r="A18">
        <v>16</v>
      </c>
      <c r="B18" s="15">
        <f>Revenue_Model!C18</f>
        <v>77898.370830038213</v>
      </c>
      <c r="C18" s="15">
        <f>Cost_Model!F18</f>
        <v>51369.51124901147</v>
      </c>
      <c r="D18" s="15">
        <f t="shared" si="0"/>
        <v>26528.859581026743</v>
      </c>
      <c r="E18">
        <f>Assumptions!$B$7-Assumptions!$B$9</f>
        <v>350</v>
      </c>
      <c r="F18">
        <f>Assumptions!$B$11/E18</f>
        <v>57.142857142857146</v>
      </c>
      <c r="G18" s="15">
        <f t="shared" si="1"/>
        <v>257490.84561525201</v>
      </c>
    </row>
    <row r="19" spans="1:7">
      <c r="A19">
        <v>17</v>
      </c>
      <c r="B19" s="15">
        <f>Revenue_Model!C19</f>
        <v>80235.321954939369</v>
      </c>
      <c r="C19" s="15">
        <f>Cost_Model!F19</f>
        <v>52070.596586481814</v>
      </c>
      <c r="D19" s="15">
        <f t="shared" si="0"/>
        <v>28164.725368457555</v>
      </c>
      <c r="E19">
        <f>Assumptions!$B$7-Assumptions!$B$9</f>
        <v>350</v>
      </c>
      <c r="F19">
        <f>Assumptions!$B$11/E19</f>
        <v>57.142857142857146</v>
      </c>
      <c r="G19" s="15">
        <f t="shared" si="1"/>
        <v>285655.57098370953</v>
      </c>
    </row>
    <row r="20" spans="1:7">
      <c r="A20">
        <v>18</v>
      </c>
      <c r="B20" s="15">
        <f>Revenue_Model!C20</f>
        <v>82642.381613587539</v>
      </c>
      <c r="C20" s="15">
        <f>Cost_Model!F20</f>
        <v>52792.714484076263</v>
      </c>
      <c r="D20" s="15">
        <f t="shared" si="0"/>
        <v>29849.667129511276</v>
      </c>
      <c r="E20">
        <f>Assumptions!$B$7-Assumptions!$B$9</f>
        <v>350</v>
      </c>
      <c r="F20">
        <f>Assumptions!$B$11/E20</f>
        <v>57.142857142857146</v>
      </c>
      <c r="G20" s="15">
        <f t="shared" si="1"/>
        <v>315505.23811322078</v>
      </c>
    </row>
    <row r="21" spans="1:7">
      <c r="A21">
        <v>19</v>
      </c>
      <c r="B21" s="15">
        <f>Revenue_Model!C21</f>
        <v>85121.653061995166</v>
      </c>
      <c r="C21" s="15">
        <f>Cost_Model!F21</f>
        <v>53536.49591859855</v>
      </c>
      <c r="D21" s="15">
        <f t="shared" si="0"/>
        <v>31585.157143396616</v>
      </c>
      <c r="E21">
        <f>Assumptions!$B$7-Assumptions!$B$9</f>
        <v>350</v>
      </c>
      <c r="F21">
        <f>Assumptions!$B$11/E21</f>
        <v>57.142857142857146</v>
      </c>
      <c r="G21" s="15">
        <f t="shared" si="1"/>
        <v>347090.3952566174</v>
      </c>
    </row>
    <row r="22" spans="1:7">
      <c r="A22">
        <v>20</v>
      </c>
      <c r="B22" s="15">
        <f>Revenue_Model!C22</f>
        <v>87675.302653855018</v>
      </c>
      <c r="C22" s="15">
        <f>Cost_Model!F22</f>
        <v>54302.590796156503</v>
      </c>
      <c r="D22" s="15">
        <f t="shared" si="0"/>
        <v>33372.711857698516</v>
      </c>
      <c r="E22">
        <f>Assumptions!$B$7-Assumptions!$B$9</f>
        <v>350</v>
      </c>
      <c r="F22">
        <f>Assumptions!$B$11/E22</f>
        <v>57.142857142857146</v>
      </c>
      <c r="G22" s="15">
        <f t="shared" si="1"/>
        <v>380463.10711431591</v>
      </c>
    </row>
    <row r="23" spans="1:7">
      <c r="A23">
        <v>21</v>
      </c>
      <c r="B23" s="15">
        <f>Revenue_Model!C23</f>
        <v>90305.561733470648</v>
      </c>
      <c r="C23" s="15">
        <f>Cost_Model!F23</f>
        <v>55091.668520041196</v>
      </c>
      <c r="D23" s="15">
        <f t="shared" si="0"/>
        <v>35213.893213429452</v>
      </c>
      <c r="E23">
        <f>Assumptions!$B$7-Assumptions!$B$9</f>
        <v>350</v>
      </c>
      <c r="F23">
        <f>Assumptions!$B$11/E23</f>
        <v>57.142857142857146</v>
      </c>
      <c r="G23" s="15">
        <f t="shared" si="1"/>
        <v>415677.00032774534</v>
      </c>
    </row>
    <row r="24" spans="1:7">
      <c r="A24">
        <v>22</v>
      </c>
      <c r="B24" s="15">
        <f>Revenue_Model!C24</f>
        <v>93014.728585474775</v>
      </c>
      <c r="C24" s="15">
        <f>Cost_Model!F24</f>
        <v>55904.418575642427</v>
      </c>
      <c r="D24" s="15">
        <f t="shared" si="0"/>
        <v>37110.310009832348</v>
      </c>
      <c r="E24">
        <f>Assumptions!$B$7-Assumptions!$B$9</f>
        <v>350</v>
      </c>
      <c r="F24">
        <f>Assumptions!$B$11/E24</f>
        <v>57.142857142857146</v>
      </c>
      <c r="G24" s="15">
        <f t="shared" si="1"/>
        <v>452787.31033757771</v>
      </c>
    </row>
    <row r="25" spans="1:7">
      <c r="A25">
        <v>23</v>
      </c>
      <c r="B25" s="15">
        <f>Revenue_Model!C25</f>
        <v>95805.170443039009</v>
      </c>
      <c r="C25" s="15">
        <f>Cost_Model!F25</f>
        <v>56741.5511329117</v>
      </c>
      <c r="D25" s="15">
        <f t="shared" si="0"/>
        <v>39063.619310127309</v>
      </c>
      <c r="E25">
        <f>Assumptions!$B$7-Assumptions!$B$9</f>
        <v>350</v>
      </c>
      <c r="F25">
        <f>Assumptions!$B$11/E25</f>
        <v>57.142857142857146</v>
      </c>
      <c r="G25" s="15">
        <f t="shared" si="1"/>
        <v>491850.92964770505</v>
      </c>
    </row>
    <row r="26" spans="1:7">
      <c r="A26">
        <v>24</v>
      </c>
      <c r="B26" s="15">
        <f>Revenue_Model!C26</f>
        <v>98679.325556330165</v>
      </c>
      <c r="C26" s="15">
        <f>Cost_Model!F26</f>
        <v>57603.797666899052</v>
      </c>
      <c r="D26" s="15">
        <f t="shared" si="0"/>
        <v>41075.527889431112</v>
      </c>
      <c r="E26">
        <f>Assumptions!$B$7-Assumptions!$B$9</f>
        <v>350</v>
      </c>
      <c r="F26">
        <f>Assumptions!$B$11/E26</f>
        <v>57.142857142857146</v>
      </c>
      <c r="G26" s="15">
        <f t="shared" si="1"/>
        <v>532926.45753713616</v>
      </c>
    </row>
    <row r="27" spans="1:7">
      <c r="A27">
        <v>25</v>
      </c>
      <c r="B27" s="15">
        <f>Revenue_Model!C27</f>
        <v>101639.70532302007</v>
      </c>
      <c r="C27" s="15">
        <f>Cost_Model!F27</f>
        <v>58491.911596906022</v>
      </c>
      <c r="D27" s="15">
        <f t="shared" si="0"/>
        <v>43147.793726114047</v>
      </c>
      <c r="E27">
        <f>Assumptions!$B$7-Assumptions!$B$9</f>
        <v>350</v>
      </c>
      <c r="F27">
        <f>Assumptions!$B$11/E27</f>
        <v>57.142857142857146</v>
      </c>
      <c r="G27" s="15">
        <f t="shared" si="1"/>
        <v>576074.25126325025</v>
      </c>
    </row>
    <row r="28" spans="1:7">
      <c r="A28">
        <v>26</v>
      </c>
      <c r="B28" s="15">
        <f>Revenue_Model!C28</f>
        <v>104688.89648271065</v>
      </c>
      <c r="C28" s="15">
        <f>Cost_Model!F28</f>
        <v>59406.668944813195</v>
      </c>
      <c r="D28" s="15">
        <f t="shared" si="0"/>
        <v>45282.227537897459</v>
      </c>
      <c r="E28">
        <f>Assumptions!$B$7-Assumptions!$B$9</f>
        <v>350</v>
      </c>
      <c r="F28">
        <f>Assumptions!$B$11/E28</f>
        <v>57.142857142857146</v>
      </c>
      <c r="G28" s="15">
        <f t="shared" si="1"/>
        <v>621356.47880114766</v>
      </c>
    </row>
    <row r="29" spans="1:7">
      <c r="A29">
        <v>27</v>
      </c>
      <c r="B29" s="15">
        <f>Revenue_Model!C29</f>
        <v>107829.56337719198</v>
      </c>
      <c r="C29" s="15">
        <f>Cost_Model!F29</f>
        <v>60348.8690131576</v>
      </c>
      <c r="D29" s="15">
        <f t="shared" si="0"/>
        <v>47480.694364034382</v>
      </c>
      <c r="E29">
        <f>Assumptions!$B$7-Assumptions!$B$9</f>
        <v>350</v>
      </c>
      <c r="F29">
        <f>Assumptions!$B$11/E29</f>
        <v>57.142857142857146</v>
      </c>
      <c r="G29" s="15">
        <f t="shared" si="1"/>
        <v>668837.173165182</v>
      </c>
    </row>
    <row r="30" spans="1:7">
      <c r="A30">
        <v>28</v>
      </c>
      <c r="B30" s="15">
        <f>Revenue_Model!C30</f>
        <v>111064.45027850775</v>
      </c>
      <c r="C30" s="15">
        <f>Cost_Model!F30</f>
        <v>61319.335083552323</v>
      </c>
      <c r="D30" s="15">
        <f t="shared" si="0"/>
        <v>49745.115194955426</v>
      </c>
      <c r="E30">
        <f>Assumptions!$B$7-Assumptions!$B$9</f>
        <v>350</v>
      </c>
      <c r="F30">
        <f>Assumptions!$B$11/E30</f>
        <v>57.142857142857146</v>
      </c>
      <c r="G30" s="15">
        <f t="shared" si="1"/>
        <v>718582.28836013738</v>
      </c>
    </row>
    <row r="31" spans="1:7">
      <c r="A31">
        <v>29</v>
      </c>
      <c r="B31" s="15">
        <f>Revenue_Model!C31</f>
        <v>114396.38378686298</v>
      </c>
      <c r="C31" s="15">
        <f>Cost_Model!F31</f>
        <v>62318.915136058895</v>
      </c>
      <c r="D31" s="15">
        <f t="shared" si="0"/>
        <v>52077.468650804083</v>
      </c>
      <c r="E31">
        <f>Assumptions!$B$7-Assumptions!$B$9</f>
        <v>350</v>
      </c>
      <c r="F31">
        <f>Assumptions!$B$11/E31</f>
        <v>57.142857142857146</v>
      </c>
      <c r="G31" s="15">
        <f t="shared" si="1"/>
        <v>770659.75701094151</v>
      </c>
    </row>
    <row r="32" spans="1:7">
      <c r="A32">
        <v>30</v>
      </c>
      <c r="B32" s="15">
        <f>Revenue_Model!C32</f>
        <v>117828.27530046887</v>
      </c>
      <c r="C32" s="15">
        <f>Cost_Model!F32</f>
        <v>63348.482590140666</v>
      </c>
      <c r="D32" s="15">
        <f t="shared" si="0"/>
        <v>54479.792710328205</v>
      </c>
      <c r="E32">
        <f>Assumptions!$B$7-Assumptions!$B$9</f>
        <v>350</v>
      </c>
      <c r="F32">
        <f>Assumptions!$B$11/E32</f>
        <v>57.142857142857146</v>
      </c>
      <c r="G32" s="15">
        <f t="shared" si="1"/>
        <v>825139.54972126975</v>
      </c>
    </row>
    <row r="33" spans="1:7">
      <c r="A33">
        <v>31</v>
      </c>
      <c r="B33" s="15">
        <f>Revenue_Model!C33</f>
        <v>121363.12355948295</v>
      </c>
      <c r="C33" s="15">
        <f>Cost_Model!F33</f>
        <v>64408.937067844883</v>
      </c>
      <c r="D33" s="15">
        <f t="shared" si="0"/>
        <v>56954.186491638065</v>
      </c>
      <c r="E33">
        <f>Assumptions!$B$7-Assumptions!$B$9</f>
        <v>350</v>
      </c>
      <c r="F33">
        <f>Assumptions!$B$11/E33</f>
        <v>57.142857142857146</v>
      </c>
      <c r="G33" s="15">
        <f t="shared" si="1"/>
        <v>882093.73621290782</v>
      </c>
    </row>
    <row r="34" spans="1:7">
      <c r="A34">
        <v>32</v>
      </c>
      <c r="B34" s="15">
        <f>Revenue_Model!C34</f>
        <v>125004.01726626743</v>
      </c>
      <c r="C34" s="15">
        <f>Cost_Model!F34</f>
        <v>65501.205179880228</v>
      </c>
      <c r="D34" s="15">
        <f t="shared" si="0"/>
        <v>59502.812086387203</v>
      </c>
      <c r="E34">
        <f>Assumptions!$B$7-Assumptions!$B$9</f>
        <v>350</v>
      </c>
      <c r="F34">
        <f>Assumptions!$B$11/E34</f>
        <v>57.142857142857146</v>
      </c>
      <c r="G34" s="15">
        <f t="shared" si="1"/>
        <v>941596.54829929501</v>
      </c>
    </row>
    <row r="35" spans="1:7">
      <c r="A35">
        <v>33</v>
      </c>
      <c r="B35" s="15">
        <f>Revenue_Model!C35</f>
        <v>128754.13778425545</v>
      </c>
      <c r="C35" s="15">
        <f>Cost_Model!F35</f>
        <v>66626.241335276631</v>
      </c>
      <c r="D35" s="15">
        <f t="shared" si="0"/>
        <v>62127.89644897882</v>
      </c>
      <c r="E35">
        <f>Assumptions!$B$7-Assumptions!$B$9</f>
        <v>350</v>
      </c>
      <c r="F35">
        <f>Assumptions!$B$11/E35</f>
        <v>57.142857142857146</v>
      </c>
      <c r="G35" s="15">
        <f t="shared" si="1"/>
        <v>1003724.4447482738</v>
      </c>
    </row>
    <row r="36" spans="1:7">
      <c r="A36">
        <v>34</v>
      </c>
      <c r="B36" s="15">
        <f>Revenue_Model!C36</f>
        <v>132616.76191778309</v>
      </c>
      <c r="C36" s="15">
        <f>Cost_Model!F36</f>
        <v>67785.028575334931</v>
      </c>
      <c r="D36" s="15">
        <f t="shared" si="0"/>
        <v>64831.733342448162</v>
      </c>
      <c r="E36">
        <f>Assumptions!$B$7-Assumptions!$B$9</f>
        <v>350</v>
      </c>
      <c r="F36">
        <f>Assumptions!$B$11/E36</f>
        <v>57.142857142857146</v>
      </c>
      <c r="G36" s="15">
        <f t="shared" si="1"/>
        <v>1068556.1780907221</v>
      </c>
    </row>
    <row r="37" spans="1:7">
      <c r="A37">
        <v>35</v>
      </c>
      <c r="B37" s="15">
        <f>Revenue_Model!C37</f>
        <v>136595.26477531658</v>
      </c>
      <c r="C37" s="15">
        <f>Cost_Model!F37</f>
        <v>68978.579432594968</v>
      </c>
      <c r="D37" s="15">
        <f t="shared" si="0"/>
        <v>67616.685342721612</v>
      </c>
      <c r="E37">
        <f>Assumptions!$B$7-Assumptions!$B$9</f>
        <v>350</v>
      </c>
      <c r="F37">
        <f>Assumptions!$B$11/E37</f>
        <v>57.142857142857146</v>
      </c>
      <c r="G37" s="15">
        <f t="shared" si="1"/>
        <v>1136172.8634334437</v>
      </c>
    </row>
    <row r="38" spans="1:7">
      <c r="A38">
        <v>36</v>
      </c>
      <c r="B38" s="15">
        <f>Revenue_Model!C38</f>
        <v>140693.12271857608</v>
      </c>
      <c r="C38" s="15">
        <f>Cost_Model!F38</f>
        <v>70207.93681557283</v>
      </c>
      <c r="D38" s="15">
        <f t="shared" si="0"/>
        <v>70485.18590300325</v>
      </c>
      <c r="E38">
        <f>Assumptions!$B$7-Assumptions!$B$9</f>
        <v>350</v>
      </c>
      <c r="F38">
        <f>Assumptions!$B$11/E38</f>
        <v>57.142857142857146</v>
      </c>
      <c r="G38" s="15">
        <f t="shared" si="1"/>
        <v>1206658.0493364469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F80DD-8050-439C-90B6-89D8AA9988A9}">
  <dimension ref="A1:C7"/>
  <sheetViews>
    <sheetView zoomScale="145" zoomScaleNormal="145" workbookViewId="0">
      <selection activeCell="C5" sqref="C5"/>
    </sheetView>
  </sheetViews>
  <sheetFormatPr defaultRowHeight="14.4"/>
  <cols>
    <col min="1" max="1" width="23.44140625" customWidth="1"/>
    <col min="2" max="2" width="35.88671875" customWidth="1"/>
  </cols>
  <sheetData>
    <row r="1" spans="1:3">
      <c r="A1" s="17" t="s">
        <v>33</v>
      </c>
      <c r="B1" s="17" t="s">
        <v>34</v>
      </c>
      <c r="C1" s="17" t="s">
        <v>1</v>
      </c>
    </row>
    <row r="3" spans="1:3">
      <c r="A3" t="s">
        <v>35</v>
      </c>
      <c r="B3" t="s">
        <v>36</v>
      </c>
      <c r="C3">
        <f>Assumptions!$B$13</f>
        <v>8000</v>
      </c>
    </row>
    <row r="4" spans="1:3">
      <c r="A4" t="s">
        <v>30</v>
      </c>
      <c r="B4" t="s">
        <v>37</v>
      </c>
      <c r="C4" s="15">
        <f>AVERAGE(Customer_Model!C3:C38)</f>
        <v>10.545990711125937</v>
      </c>
    </row>
    <row r="5" spans="1:3">
      <c r="A5" t="s">
        <v>38</v>
      </c>
      <c r="B5" t="s">
        <v>43</v>
      </c>
      <c r="C5">
        <f>C3/C4</f>
        <v>758.58212083953981</v>
      </c>
    </row>
    <row r="6" spans="1:3">
      <c r="A6" t="s">
        <v>41</v>
      </c>
      <c r="B6" t="s">
        <v>42</v>
      </c>
      <c r="C6">
        <f>Assumptions!$B$7 / Assumptions!$B$19</f>
        <v>16666.666666666668</v>
      </c>
    </row>
    <row r="7" spans="1:3">
      <c r="A7" t="s">
        <v>44</v>
      </c>
      <c r="C7">
        <f>C6/C5</f>
        <v>21.970813981512372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FE5CB-A349-4C80-998A-881F17B7F0FD}">
  <dimension ref="A1:F38"/>
  <sheetViews>
    <sheetView workbookViewId="0">
      <selection activeCell="G3" sqref="G3"/>
    </sheetView>
  </sheetViews>
  <sheetFormatPr defaultRowHeight="14.4"/>
  <cols>
    <col min="1" max="1" width="10.77734375" style="13" customWidth="1"/>
    <col min="3" max="3" width="11.44140625" customWidth="1"/>
    <col min="4" max="4" width="18.33203125" customWidth="1"/>
    <col min="6" max="6" width="11.88671875" bestFit="1" customWidth="1"/>
  </cols>
  <sheetData>
    <row r="1" spans="1:6">
      <c r="A1" s="17" t="s">
        <v>10</v>
      </c>
      <c r="B1" s="17" t="s">
        <v>12</v>
      </c>
      <c r="C1" s="17" t="s">
        <v>19</v>
      </c>
      <c r="D1" s="17" t="s">
        <v>20</v>
      </c>
      <c r="E1" s="17" t="s">
        <v>21</v>
      </c>
      <c r="F1" s="17" t="s">
        <v>22</v>
      </c>
    </row>
    <row r="3" spans="1:6">
      <c r="A3" s="3">
        <v>1</v>
      </c>
      <c r="B3" s="16">
        <f>Revenue_Model!C3</f>
        <v>50000</v>
      </c>
      <c r="C3" s="16">
        <f xml:space="preserve"> Cost_Model!F3</f>
        <v>43000</v>
      </c>
      <c r="D3" s="16">
        <f xml:space="preserve"> B3 - C3</f>
        <v>7000</v>
      </c>
      <c r="E3" s="12">
        <f xml:space="preserve"> D3 *Assumptions!$B$15</f>
        <v>1750</v>
      </c>
      <c r="F3" s="42">
        <f xml:space="preserve"> D3 - E3</f>
        <v>5250</v>
      </c>
    </row>
    <row r="4" spans="1:6">
      <c r="A4" s="3">
        <v>2</v>
      </c>
      <c r="B4" s="16">
        <f>Revenue_Model!C4</f>
        <v>51500</v>
      </c>
      <c r="C4" s="16">
        <f xml:space="preserve"> Cost_Model!F4</f>
        <v>43450</v>
      </c>
      <c r="D4" s="16">
        <f t="shared" ref="D4:D38" si="0" xml:space="preserve"> B4 - C4</f>
        <v>8050</v>
      </c>
      <c r="E4" s="12">
        <f xml:space="preserve"> D4 *Assumptions!$B$15</f>
        <v>2012.5</v>
      </c>
      <c r="F4" s="42">
        <f t="shared" ref="F4:F38" si="1" xml:space="preserve"> D4 - E4</f>
        <v>6037.5</v>
      </c>
    </row>
    <row r="5" spans="1:6">
      <c r="A5" s="3">
        <v>3</v>
      </c>
      <c r="B5" s="16">
        <f>Revenue_Model!C5</f>
        <v>53045</v>
      </c>
      <c r="C5" s="16">
        <f xml:space="preserve"> Cost_Model!F5</f>
        <v>43913.5</v>
      </c>
      <c r="D5" s="16">
        <f t="shared" si="0"/>
        <v>9131.5</v>
      </c>
      <c r="E5" s="12">
        <f xml:space="preserve"> D5 *Assumptions!$B$15</f>
        <v>2282.875</v>
      </c>
      <c r="F5" s="42">
        <f t="shared" si="1"/>
        <v>6848.625</v>
      </c>
    </row>
    <row r="6" spans="1:6">
      <c r="A6" s="3">
        <v>4</v>
      </c>
      <c r="B6" s="16">
        <f>Revenue_Model!C6</f>
        <v>54636.35</v>
      </c>
      <c r="C6" s="16">
        <f xml:space="preserve"> Cost_Model!F6</f>
        <v>44390.904999999999</v>
      </c>
      <c r="D6" s="16">
        <f t="shared" si="0"/>
        <v>10245.445</v>
      </c>
      <c r="E6" s="12">
        <f xml:space="preserve"> D6 *Assumptions!$B$15</f>
        <v>2561.3612499999999</v>
      </c>
      <c r="F6" s="42">
        <f t="shared" si="1"/>
        <v>7684.0837499999998</v>
      </c>
    </row>
    <row r="7" spans="1:6">
      <c r="A7" s="3">
        <v>5</v>
      </c>
      <c r="B7" s="16">
        <f>Revenue_Model!C7</f>
        <v>56275.440499999997</v>
      </c>
      <c r="C7" s="16">
        <f xml:space="preserve"> Cost_Model!F7</f>
        <v>44882.632149999998</v>
      </c>
      <c r="D7" s="16">
        <f t="shared" si="0"/>
        <v>11392.808349999999</v>
      </c>
      <c r="E7" s="12">
        <f xml:space="preserve"> D7 *Assumptions!$B$15</f>
        <v>2848.2020874999998</v>
      </c>
      <c r="F7" s="42">
        <f t="shared" si="1"/>
        <v>8544.6062624999995</v>
      </c>
    </row>
    <row r="8" spans="1:6">
      <c r="A8" s="3">
        <v>6</v>
      </c>
      <c r="B8" s="16">
        <f>Revenue_Model!C8</f>
        <v>57963.703714999996</v>
      </c>
      <c r="C8" s="16">
        <f xml:space="preserve"> Cost_Model!F8</f>
        <v>45389.111114500003</v>
      </c>
      <c r="D8" s="16">
        <f t="shared" si="0"/>
        <v>12574.592600499993</v>
      </c>
      <c r="E8" s="12">
        <f xml:space="preserve"> D8 *Assumptions!$B$15</f>
        <v>3143.6481501249982</v>
      </c>
      <c r="F8" s="42">
        <f t="shared" si="1"/>
        <v>9430.9444503749946</v>
      </c>
    </row>
    <row r="9" spans="1:6">
      <c r="A9" s="3">
        <v>7</v>
      </c>
      <c r="B9" s="16">
        <f>Revenue_Model!C9</f>
        <v>59702.614826449993</v>
      </c>
      <c r="C9" s="16">
        <f xml:space="preserve"> Cost_Model!F9</f>
        <v>45910.784447935002</v>
      </c>
      <c r="D9" s="16">
        <f t="shared" si="0"/>
        <v>13791.830378514991</v>
      </c>
      <c r="E9" s="12">
        <f xml:space="preserve"> D9 *Assumptions!$B$15</f>
        <v>3447.9575946287478</v>
      </c>
      <c r="F9" s="42">
        <f t="shared" si="1"/>
        <v>10343.872783886243</v>
      </c>
    </row>
    <row r="10" spans="1:6">
      <c r="A10" s="3">
        <v>8</v>
      </c>
      <c r="B10" s="16">
        <f>Revenue_Model!C10</f>
        <v>61493.693271243494</v>
      </c>
      <c r="C10" s="16">
        <f xml:space="preserve"> Cost_Model!F10</f>
        <v>46448.107981373047</v>
      </c>
      <c r="D10" s="16">
        <f t="shared" si="0"/>
        <v>15045.585289870447</v>
      </c>
      <c r="E10" s="12">
        <f xml:space="preserve"> D10 *Assumptions!$B$15</f>
        <v>3761.3963224676118</v>
      </c>
      <c r="F10" s="42">
        <f t="shared" si="1"/>
        <v>11284.188967402835</v>
      </c>
    </row>
    <row r="11" spans="1:6">
      <c r="A11" s="3">
        <v>9</v>
      </c>
      <c r="B11" s="16">
        <f>Revenue_Model!C11</f>
        <v>63338.504069380804</v>
      </c>
      <c r="C11" s="16">
        <f xml:space="preserve"> Cost_Model!F11</f>
        <v>47001.551220814246</v>
      </c>
      <c r="D11" s="16">
        <f t="shared" si="0"/>
        <v>16336.952848566558</v>
      </c>
      <c r="E11" s="12">
        <f xml:space="preserve"> D11 *Assumptions!$B$15</f>
        <v>4084.2382121416395</v>
      </c>
      <c r="F11" s="42">
        <f t="shared" si="1"/>
        <v>12252.714636424918</v>
      </c>
    </row>
    <row r="12" spans="1:6">
      <c r="A12" s="3">
        <v>10</v>
      </c>
      <c r="B12" s="16">
        <f>Revenue_Model!C12</f>
        <v>65238.659191462219</v>
      </c>
      <c r="C12" s="16">
        <f xml:space="preserve"> Cost_Model!F12</f>
        <v>47571.597757438663</v>
      </c>
      <c r="D12" s="16">
        <f t="shared" si="0"/>
        <v>17667.061434023555</v>
      </c>
      <c r="E12" s="12">
        <f xml:space="preserve"> D12 *Assumptions!$B$15</f>
        <v>4416.7653585058888</v>
      </c>
      <c r="F12" s="42">
        <f t="shared" si="1"/>
        <v>13250.296075517666</v>
      </c>
    </row>
    <row r="13" spans="1:6">
      <c r="A13" s="3">
        <v>11</v>
      </c>
      <c r="B13" s="16">
        <f>Revenue_Model!C13</f>
        <v>67195.818967206098</v>
      </c>
      <c r="C13" s="16">
        <f xml:space="preserve"> Cost_Model!F13</f>
        <v>48158.745690161828</v>
      </c>
      <c r="D13" s="16">
        <f t="shared" si="0"/>
        <v>19037.07327704427</v>
      </c>
      <c r="E13" s="12">
        <f xml:space="preserve"> D13 *Assumptions!$B$15</f>
        <v>4759.2683192610675</v>
      </c>
      <c r="F13" s="42">
        <f t="shared" si="1"/>
        <v>14277.804957783203</v>
      </c>
    </row>
    <row r="14" spans="1:6">
      <c r="A14" s="3">
        <v>12</v>
      </c>
      <c r="B14" s="16">
        <f>Revenue_Model!C14</f>
        <v>69211.693536222287</v>
      </c>
      <c r="C14" s="16">
        <f xml:space="preserve"> Cost_Model!F14</f>
        <v>48763.50806086669</v>
      </c>
      <c r="D14" s="16">
        <f t="shared" si="0"/>
        <v>20448.185475355596</v>
      </c>
      <c r="E14" s="12">
        <f xml:space="preserve"> D14 *Assumptions!$B$15</f>
        <v>5112.0463688388991</v>
      </c>
      <c r="F14" s="42">
        <f t="shared" si="1"/>
        <v>15336.139106516697</v>
      </c>
    </row>
    <row r="15" spans="1:6">
      <c r="A15" s="3">
        <v>13</v>
      </c>
      <c r="B15" s="16">
        <f>Revenue_Model!C15</f>
        <v>71288.044342308945</v>
      </c>
      <c r="C15" s="16">
        <f xml:space="preserve"> Cost_Model!F15</f>
        <v>49386.413302692687</v>
      </c>
      <c r="D15" s="16">
        <f t="shared" si="0"/>
        <v>21901.631039616259</v>
      </c>
      <c r="E15" s="12">
        <f xml:space="preserve"> D15 *Assumptions!$B$15</f>
        <v>5475.4077599040647</v>
      </c>
      <c r="F15" s="42">
        <f t="shared" si="1"/>
        <v>16426.223279712194</v>
      </c>
    </row>
    <row r="16" spans="1:6">
      <c r="A16" s="3">
        <v>14</v>
      </c>
      <c r="B16" s="16">
        <f>Revenue_Model!C16</f>
        <v>73426.685672578213</v>
      </c>
      <c r="C16" s="16">
        <f xml:space="preserve"> Cost_Model!F16</f>
        <v>50028.005701773465</v>
      </c>
      <c r="D16" s="16">
        <f t="shared" si="0"/>
        <v>23398.679970804747</v>
      </c>
      <c r="E16" s="12">
        <f xml:space="preserve"> D16 *Assumptions!$B$15</f>
        <v>5849.6699927011869</v>
      </c>
      <c r="F16" s="42">
        <f t="shared" si="1"/>
        <v>17549.009978103561</v>
      </c>
    </row>
    <row r="17" spans="1:6">
      <c r="A17" s="3">
        <v>15</v>
      </c>
      <c r="B17" s="16">
        <f>Revenue_Model!C17</f>
        <v>75629.486242755564</v>
      </c>
      <c r="C17" s="16">
        <f xml:space="preserve"> Cost_Model!F17</f>
        <v>50688.845872826671</v>
      </c>
      <c r="D17" s="16">
        <f t="shared" si="0"/>
        <v>24940.640369928893</v>
      </c>
      <c r="E17" s="12">
        <f xml:space="preserve"> D17 *Assumptions!$B$15</f>
        <v>6235.1600924822233</v>
      </c>
      <c r="F17" s="42">
        <f t="shared" si="1"/>
        <v>18705.48027744667</v>
      </c>
    </row>
    <row r="18" spans="1:6">
      <c r="A18" s="3">
        <v>16</v>
      </c>
      <c r="B18" s="16">
        <f>Revenue_Model!C18</f>
        <v>77898.370830038213</v>
      </c>
      <c r="C18" s="16">
        <f xml:space="preserve"> Cost_Model!F18</f>
        <v>51369.51124901147</v>
      </c>
      <c r="D18" s="16">
        <f t="shared" si="0"/>
        <v>26528.859581026743</v>
      </c>
      <c r="E18" s="12">
        <f xml:space="preserve"> D18 *Assumptions!$B$15</f>
        <v>6632.2148952566858</v>
      </c>
      <c r="F18" s="42">
        <f t="shared" si="1"/>
        <v>19896.644685770058</v>
      </c>
    </row>
    <row r="19" spans="1:6">
      <c r="A19" s="3">
        <v>17</v>
      </c>
      <c r="B19" s="16">
        <f>Revenue_Model!C19</f>
        <v>80235.321954939369</v>
      </c>
      <c r="C19" s="16">
        <f xml:space="preserve"> Cost_Model!F19</f>
        <v>52070.596586481814</v>
      </c>
      <c r="D19" s="16">
        <f t="shared" si="0"/>
        <v>28164.725368457555</v>
      </c>
      <c r="E19" s="12">
        <f xml:space="preserve"> D19 *Assumptions!$B$15</f>
        <v>7041.1813421143888</v>
      </c>
      <c r="F19" s="42">
        <f t="shared" si="1"/>
        <v>21123.544026343166</v>
      </c>
    </row>
    <row r="20" spans="1:6">
      <c r="A20" s="3">
        <v>18</v>
      </c>
      <c r="B20" s="16">
        <f>Revenue_Model!C20</f>
        <v>82642.381613587539</v>
      </c>
      <c r="C20" s="16">
        <f xml:space="preserve"> Cost_Model!F20</f>
        <v>52792.714484076263</v>
      </c>
      <c r="D20" s="16">
        <f t="shared" si="0"/>
        <v>29849.667129511276</v>
      </c>
      <c r="E20" s="12">
        <f xml:space="preserve"> D20 *Assumptions!$B$15</f>
        <v>7462.4167823778189</v>
      </c>
      <c r="F20" s="42">
        <f t="shared" si="1"/>
        <v>22387.250347133457</v>
      </c>
    </row>
    <row r="21" spans="1:6">
      <c r="A21" s="3">
        <v>19</v>
      </c>
      <c r="B21" s="16">
        <f>Revenue_Model!C21</f>
        <v>85121.653061995166</v>
      </c>
      <c r="C21" s="16">
        <f xml:space="preserve"> Cost_Model!F21</f>
        <v>53536.49591859855</v>
      </c>
      <c r="D21" s="16">
        <f t="shared" si="0"/>
        <v>31585.157143396616</v>
      </c>
      <c r="E21" s="12">
        <f xml:space="preserve"> D21 *Assumptions!$B$15</f>
        <v>7896.2892858491541</v>
      </c>
      <c r="F21" s="42">
        <f t="shared" si="1"/>
        <v>23688.867857547462</v>
      </c>
    </row>
    <row r="22" spans="1:6">
      <c r="A22" s="3">
        <v>20</v>
      </c>
      <c r="B22" s="16">
        <f>Revenue_Model!C22</f>
        <v>87675.302653855018</v>
      </c>
      <c r="C22" s="16">
        <f xml:space="preserve"> Cost_Model!F22</f>
        <v>54302.590796156503</v>
      </c>
      <c r="D22" s="16">
        <f t="shared" si="0"/>
        <v>33372.711857698516</v>
      </c>
      <c r="E22" s="12">
        <f xml:space="preserve"> D22 *Assumptions!$B$15</f>
        <v>8343.177964424629</v>
      </c>
      <c r="F22" s="42">
        <f t="shared" si="1"/>
        <v>25029.533893273889</v>
      </c>
    </row>
    <row r="23" spans="1:6">
      <c r="A23" s="3">
        <v>21</v>
      </c>
      <c r="B23" s="16">
        <f>Revenue_Model!C23</f>
        <v>90305.561733470648</v>
      </c>
      <c r="C23" s="16">
        <f xml:space="preserve"> Cost_Model!F23</f>
        <v>55091.668520041196</v>
      </c>
      <c r="D23" s="16">
        <f t="shared" si="0"/>
        <v>35213.893213429452</v>
      </c>
      <c r="E23" s="12">
        <f xml:space="preserve"> D23 *Assumptions!$B$15</f>
        <v>8803.473303357363</v>
      </c>
      <c r="F23" s="42">
        <f t="shared" si="1"/>
        <v>26410.419910072087</v>
      </c>
    </row>
    <row r="24" spans="1:6">
      <c r="A24" s="3">
        <v>22</v>
      </c>
      <c r="B24" s="16">
        <f>Revenue_Model!C24</f>
        <v>93014.728585474775</v>
      </c>
      <c r="C24" s="16">
        <f xml:space="preserve"> Cost_Model!F24</f>
        <v>55904.418575642427</v>
      </c>
      <c r="D24" s="16">
        <f t="shared" si="0"/>
        <v>37110.310009832348</v>
      </c>
      <c r="E24" s="12">
        <f xml:space="preserve"> D24 *Assumptions!$B$15</f>
        <v>9277.5775024580871</v>
      </c>
      <c r="F24" s="42">
        <f t="shared" si="1"/>
        <v>27832.732507374261</v>
      </c>
    </row>
    <row r="25" spans="1:6">
      <c r="A25" s="3">
        <v>23</v>
      </c>
      <c r="B25" s="16">
        <f>Revenue_Model!C25</f>
        <v>95805.170443039009</v>
      </c>
      <c r="C25" s="16">
        <f xml:space="preserve"> Cost_Model!F25</f>
        <v>56741.5511329117</v>
      </c>
      <c r="D25" s="16">
        <f t="shared" si="0"/>
        <v>39063.619310127309</v>
      </c>
      <c r="E25" s="12">
        <f xml:space="preserve"> D25 *Assumptions!$B$15</f>
        <v>9765.9048275318273</v>
      </c>
      <c r="F25" s="42">
        <f t="shared" si="1"/>
        <v>29297.714482595482</v>
      </c>
    </row>
    <row r="26" spans="1:6">
      <c r="A26" s="3">
        <v>24</v>
      </c>
      <c r="B26" s="16">
        <f>Revenue_Model!C26</f>
        <v>98679.325556330165</v>
      </c>
      <c r="C26" s="16">
        <f xml:space="preserve"> Cost_Model!F26</f>
        <v>57603.797666899052</v>
      </c>
      <c r="D26" s="16">
        <f t="shared" si="0"/>
        <v>41075.527889431112</v>
      </c>
      <c r="E26" s="12">
        <f xml:space="preserve"> D26 *Assumptions!$B$15</f>
        <v>10268.881972357778</v>
      </c>
      <c r="F26" s="42">
        <f t="shared" si="1"/>
        <v>30806.645917073336</v>
      </c>
    </row>
    <row r="27" spans="1:6">
      <c r="A27" s="3">
        <v>25</v>
      </c>
      <c r="B27" s="16">
        <f>Revenue_Model!C27</f>
        <v>101639.70532302007</v>
      </c>
      <c r="C27" s="16">
        <f xml:space="preserve"> Cost_Model!F27</f>
        <v>58491.911596906022</v>
      </c>
      <c r="D27" s="16">
        <f t="shared" si="0"/>
        <v>43147.793726114047</v>
      </c>
      <c r="E27" s="12">
        <f xml:space="preserve"> D27 *Assumptions!$B$15</f>
        <v>10786.948431528512</v>
      </c>
      <c r="F27" s="42">
        <f t="shared" si="1"/>
        <v>32360.845294585535</v>
      </c>
    </row>
    <row r="28" spans="1:6">
      <c r="A28" s="3">
        <v>26</v>
      </c>
      <c r="B28" s="16">
        <f>Revenue_Model!C28</f>
        <v>104688.89648271065</v>
      </c>
      <c r="C28" s="16">
        <f xml:space="preserve"> Cost_Model!F28</f>
        <v>59406.668944813195</v>
      </c>
      <c r="D28" s="16">
        <f t="shared" si="0"/>
        <v>45282.227537897459</v>
      </c>
      <c r="E28" s="12">
        <f xml:space="preserve"> D28 *Assumptions!$B$15</f>
        <v>11320.556884474365</v>
      </c>
      <c r="F28" s="42">
        <f t="shared" si="1"/>
        <v>33961.670653423091</v>
      </c>
    </row>
    <row r="29" spans="1:6">
      <c r="A29" s="3">
        <v>27</v>
      </c>
      <c r="B29" s="16">
        <f>Revenue_Model!C29</f>
        <v>107829.56337719198</v>
      </c>
      <c r="C29" s="16">
        <f xml:space="preserve"> Cost_Model!F29</f>
        <v>60348.8690131576</v>
      </c>
      <c r="D29" s="16">
        <f t="shared" si="0"/>
        <v>47480.694364034382</v>
      </c>
      <c r="E29" s="12">
        <f xml:space="preserve"> D29 *Assumptions!$B$15</f>
        <v>11870.173591008595</v>
      </c>
      <c r="F29" s="42">
        <f t="shared" si="1"/>
        <v>35610.520773025783</v>
      </c>
    </row>
    <row r="30" spans="1:6">
      <c r="A30" s="3">
        <v>28</v>
      </c>
      <c r="B30" s="16">
        <f>Revenue_Model!C30</f>
        <v>111064.45027850775</v>
      </c>
      <c r="C30" s="16">
        <f xml:space="preserve"> Cost_Model!F30</f>
        <v>61319.335083552323</v>
      </c>
      <c r="D30" s="16">
        <f t="shared" si="0"/>
        <v>49745.115194955426</v>
      </c>
      <c r="E30" s="12">
        <f xml:space="preserve"> D30 *Assumptions!$B$15</f>
        <v>12436.278798738856</v>
      </c>
      <c r="F30" s="42">
        <f t="shared" si="1"/>
        <v>37308.836396216568</v>
      </c>
    </row>
    <row r="31" spans="1:6">
      <c r="A31" s="3">
        <v>29</v>
      </c>
      <c r="B31" s="16">
        <f>Revenue_Model!C31</f>
        <v>114396.38378686298</v>
      </c>
      <c r="C31" s="16">
        <f xml:space="preserve"> Cost_Model!F31</f>
        <v>62318.915136058895</v>
      </c>
      <c r="D31" s="16">
        <f t="shared" si="0"/>
        <v>52077.468650804083</v>
      </c>
      <c r="E31" s="12">
        <f xml:space="preserve"> D31 *Assumptions!$B$15</f>
        <v>13019.367162701021</v>
      </c>
      <c r="F31" s="42">
        <f t="shared" si="1"/>
        <v>39058.101488103064</v>
      </c>
    </row>
    <row r="32" spans="1:6">
      <c r="A32" s="3">
        <v>30</v>
      </c>
      <c r="B32" s="16">
        <f>Revenue_Model!C32</f>
        <v>117828.27530046887</v>
      </c>
      <c r="C32" s="16">
        <f xml:space="preserve"> Cost_Model!F32</f>
        <v>63348.482590140666</v>
      </c>
      <c r="D32" s="16">
        <f t="shared" si="0"/>
        <v>54479.792710328205</v>
      </c>
      <c r="E32" s="12">
        <f xml:space="preserve"> D32 *Assumptions!$B$15</f>
        <v>13619.948177582051</v>
      </c>
      <c r="F32" s="42">
        <f t="shared" si="1"/>
        <v>40859.844532746152</v>
      </c>
    </row>
    <row r="33" spans="1:6">
      <c r="A33" s="3">
        <v>31</v>
      </c>
      <c r="B33" s="16">
        <f>Revenue_Model!C33</f>
        <v>121363.12355948295</v>
      </c>
      <c r="C33" s="16">
        <f xml:space="preserve"> Cost_Model!F33</f>
        <v>64408.937067844883</v>
      </c>
      <c r="D33" s="16">
        <f t="shared" si="0"/>
        <v>56954.186491638065</v>
      </c>
      <c r="E33" s="12">
        <f xml:space="preserve"> D33 *Assumptions!$B$15</f>
        <v>14238.546622909516</v>
      </c>
      <c r="F33" s="42">
        <f t="shared" si="1"/>
        <v>42715.639868728547</v>
      </c>
    </row>
    <row r="34" spans="1:6">
      <c r="A34" s="3">
        <v>32</v>
      </c>
      <c r="B34" s="16">
        <f>Revenue_Model!C34</f>
        <v>125004.01726626743</v>
      </c>
      <c r="C34" s="16">
        <f xml:space="preserve"> Cost_Model!F34</f>
        <v>65501.205179880228</v>
      </c>
      <c r="D34" s="16">
        <f t="shared" si="0"/>
        <v>59502.812086387203</v>
      </c>
      <c r="E34" s="12">
        <f xml:space="preserve"> D34 *Assumptions!$B$15</f>
        <v>14875.703021596801</v>
      </c>
      <c r="F34" s="42">
        <f t="shared" si="1"/>
        <v>44627.109064790406</v>
      </c>
    </row>
    <row r="35" spans="1:6">
      <c r="A35" s="3">
        <v>33</v>
      </c>
      <c r="B35" s="16">
        <f>Revenue_Model!C35</f>
        <v>128754.13778425545</v>
      </c>
      <c r="C35" s="16">
        <f xml:space="preserve"> Cost_Model!F35</f>
        <v>66626.241335276631</v>
      </c>
      <c r="D35" s="16">
        <f t="shared" si="0"/>
        <v>62127.89644897882</v>
      </c>
      <c r="E35" s="12">
        <f xml:space="preserve"> D35 *Assumptions!$B$15</f>
        <v>15531.974112244705</v>
      </c>
      <c r="F35" s="42">
        <f t="shared" si="1"/>
        <v>46595.922336734118</v>
      </c>
    </row>
    <row r="36" spans="1:6">
      <c r="A36" s="3">
        <v>34</v>
      </c>
      <c r="B36" s="16">
        <f>Revenue_Model!C36</f>
        <v>132616.76191778309</v>
      </c>
      <c r="C36" s="16">
        <f xml:space="preserve"> Cost_Model!F36</f>
        <v>67785.028575334931</v>
      </c>
      <c r="D36" s="16">
        <f t="shared" si="0"/>
        <v>64831.733342448162</v>
      </c>
      <c r="E36" s="12">
        <f xml:space="preserve"> D36 *Assumptions!$B$15</f>
        <v>16207.933335612041</v>
      </c>
      <c r="F36" s="42">
        <f t="shared" si="1"/>
        <v>48623.800006836122</v>
      </c>
    </row>
    <row r="37" spans="1:6">
      <c r="A37" s="3">
        <v>35</v>
      </c>
      <c r="B37" s="16">
        <f>Revenue_Model!C37</f>
        <v>136595.26477531658</v>
      </c>
      <c r="C37" s="16">
        <f xml:space="preserve"> Cost_Model!F37</f>
        <v>68978.579432594968</v>
      </c>
      <c r="D37" s="16">
        <f t="shared" si="0"/>
        <v>67616.685342721612</v>
      </c>
      <c r="E37" s="12">
        <f xml:space="preserve"> D37 *Assumptions!$B$15</f>
        <v>16904.171335680403</v>
      </c>
      <c r="F37" s="42">
        <f t="shared" si="1"/>
        <v>50712.514007041209</v>
      </c>
    </row>
    <row r="38" spans="1:6">
      <c r="A38" s="3">
        <v>36</v>
      </c>
      <c r="B38" s="16">
        <f>Revenue_Model!C38</f>
        <v>140693.12271857608</v>
      </c>
      <c r="C38" s="16">
        <f xml:space="preserve"> Cost_Model!F38</f>
        <v>70207.93681557283</v>
      </c>
      <c r="D38" s="16">
        <f t="shared" si="0"/>
        <v>70485.18590300325</v>
      </c>
      <c r="E38" s="12">
        <f xml:space="preserve"> D38 *Assumptions!$B$15</f>
        <v>17621.296475750813</v>
      </c>
      <c r="F38" s="42">
        <f t="shared" si="1"/>
        <v>52863.889427252434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C8658-309A-41FF-AF48-A681AFBA98B1}">
  <dimension ref="A1:E38"/>
  <sheetViews>
    <sheetView zoomScale="70" zoomScaleNormal="70" workbookViewId="0">
      <selection activeCell="H11" sqref="H11"/>
    </sheetView>
  </sheetViews>
  <sheetFormatPr defaultRowHeight="14.4"/>
  <cols>
    <col min="1" max="1" width="12.33203125" customWidth="1"/>
    <col min="2" max="2" width="12" customWidth="1"/>
    <col min="3" max="3" width="13.33203125" customWidth="1"/>
    <col min="4" max="4" width="10.5546875" customWidth="1"/>
    <col min="5" max="5" width="13.77734375" customWidth="1"/>
  </cols>
  <sheetData>
    <row r="1" spans="1:5">
      <c r="A1" t="s">
        <v>10</v>
      </c>
      <c r="B1" t="s">
        <v>12</v>
      </c>
      <c r="C1" t="s">
        <v>19</v>
      </c>
      <c r="D1" t="s">
        <v>39</v>
      </c>
      <c r="E1" t="s">
        <v>45</v>
      </c>
    </row>
    <row r="3" spans="1:5">
      <c r="A3">
        <v>1</v>
      </c>
      <c r="B3" s="15">
        <f>Revenue_Model!C3</f>
        <v>50000</v>
      </c>
      <c r="C3" s="15">
        <f>Cost_Model!F3</f>
        <v>43000</v>
      </c>
      <c r="D3" s="15">
        <f>B3-C3</f>
        <v>7000</v>
      </c>
      <c r="E3" s="15">
        <f>Assumptions!B21 + D3</f>
        <v>507000</v>
      </c>
    </row>
    <row r="4" spans="1:5">
      <c r="A4">
        <v>2</v>
      </c>
      <c r="B4" s="15">
        <f>Revenue_Model!C4</f>
        <v>51500</v>
      </c>
      <c r="C4" s="15">
        <f>Cost_Model!F4</f>
        <v>43450</v>
      </c>
      <c r="D4" s="15">
        <f t="shared" ref="D4:D38" si="0">B4-C4</f>
        <v>8050</v>
      </c>
      <c r="E4" s="15">
        <f>E3 + D4</f>
        <v>515050</v>
      </c>
    </row>
    <row r="5" spans="1:5">
      <c r="A5">
        <v>3</v>
      </c>
      <c r="B5" s="15">
        <f>Revenue_Model!C5</f>
        <v>53045</v>
      </c>
      <c r="C5" s="15">
        <f>Cost_Model!F5</f>
        <v>43913.5</v>
      </c>
      <c r="D5" s="15">
        <f t="shared" si="0"/>
        <v>9131.5</v>
      </c>
      <c r="E5" s="15">
        <f t="shared" ref="E5:E38" si="1">E4 + D5</f>
        <v>524181.5</v>
      </c>
    </row>
    <row r="6" spans="1:5">
      <c r="A6">
        <v>4</v>
      </c>
      <c r="B6" s="15">
        <f>Revenue_Model!C6</f>
        <v>54636.35</v>
      </c>
      <c r="C6" s="15">
        <f>Cost_Model!F6</f>
        <v>44390.904999999999</v>
      </c>
      <c r="D6" s="15">
        <f t="shared" si="0"/>
        <v>10245.445</v>
      </c>
      <c r="E6" s="15">
        <f t="shared" si="1"/>
        <v>534426.94499999995</v>
      </c>
    </row>
    <row r="7" spans="1:5">
      <c r="A7">
        <v>5</v>
      </c>
      <c r="B7" s="15">
        <f>Revenue_Model!C7</f>
        <v>56275.440499999997</v>
      </c>
      <c r="C7" s="15">
        <f>Cost_Model!F7</f>
        <v>44882.632149999998</v>
      </c>
      <c r="D7" s="15">
        <f t="shared" si="0"/>
        <v>11392.808349999999</v>
      </c>
      <c r="E7" s="15">
        <f t="shared" si="1"/>
        <v>545819.7533499999</v>
      </c>
    </row>
    <row r="8" spans="1:5">
      <c r="A8">
        <v>6</v>
      </c>
      <c r="B8" s="15">
        <f>Revenue_Model!C8</f>
        <v>57963.703714999996</v>
      </c>
      <c r="C8" s="15">
        <f>Cost_Model!F8</f>
        <v>45389.111114500003</v>
      </c>
      <c r="D8" s="15">
        <f t="shared" si="0"/>
        <v>12574.592600499993</v>
      </c>
      <c r="E8" s="15">
        <f t="shared" si="1"/>
        <v>558394.34595049988</v>
      </c>
    </row>
    <row r="9" spans="1:5">
      <c r="A9">
        <v>7</v>
      </c>
      <c r="B9" s="15">
        <f>Revenue_Model!C9</f>
        <v>59702.614826449993</v>
      </c>
      <c r="C9" s="15">
        <f>Cost_Model!F9</f>
        <v>45910.784447935002</v>
      </c>
      <c r="D9" s="15">
        <f t="shared" si="0"/>
        <v>13791.830378514991</v>
      </c>
      <c r="E9" s="15">
        <f t="shared" si="1"/>
        <v>572186.17632901482</v>
      </c>
    </row>
    <row r="10" spans="1:5">
      <c r="A10">
        <v>8</v>
      </c>
      <c r="B10" s="15">
        <f>Revenue_Model!C10</f>
        <v>61493.693271243494</v>
      </c>
      <c r="C10" s="15">
        <f>Cost_Model!F10</f>
        <v>46448.107981373047</v>
      </c>
      <c r="D10" s="15">
        <f t="shared" si="0"/>
        <v>15045.585289870447</v>
      </c>
      <c r="E10" s="15">
        <f t="shared" si="1"/>
        <v>587231.76161888521</v>
      </c>
    </row>
    <row r="11" spans="1:5">
      <c r="A11">
        <v>9</v>
      </c>
      <c r="B11" s="15">
        <f>Revenue_Model!C11</f>
        <v>63338.504069380804</v>
      </c>
      <c r="C11" s="15">
        <f>Cost_Model!F11</f>
        <v>47001.551220814246</v>
      </c>
      <c r="D11" s="15">
        <f t="shared" si="0"/>
        <v>16336.952848566558</v>
      </c>
      <c r="E11" s="15">
        <f t="shared" si="1"/>
        <v>603568.71446745179</v>
      </c>
    </row>
    <row r="12" spans="1:5">
      <c r="A12">
        <v>10</v>
      </c>
      <c r="B12" s="15">
        <f>Revenue_Model!C12</f>
        <v>65238.659191462219</v>
      </c>
      <c r="C12" s="15">
        <f>Cost_Model!F12</f>
        <v>47571.597757438663</v>
      </c>
      <c r="D12" s="15">
        <f t="shared" si="0"/>
        <v>17667.061434023555</v>
      </c>
      <c r="E12" s="15">
        <f t="shared" si="1"/>
        <v>621235.77590147534</v>
      </c>
    </row>
    <row r="13" spans="1:5">
      <c r="A13">
        <v>11</v>
      </c>
      <c r="B13" s="15">
        <f>Revenue_Model!C13</f>
        <v>67195.818967206098</v>
      </c>
      <c r="C13" s="15">
        <f>Cost_Model!F13</f>
        <v>48158.745690161828</v>
      </c>
      <c r="D13" s="15">
        <f t="shared" si="0"/>
        <v>19037.07327704427</v>
      </c>
      <c r="E13" s="15">
        <f t="shared" si="1"/>
        <v>640272.84917851957</v>
      </c>
    </row>
    <row r="14" spans="1:5">
      <c r="A14">
        <v>12</v>
      </c>
      <c r="B14" s="15">
        <f>Revenue_Model!C14</f>
        <v>69211.693536222287</v>
      </c>
      <c r="C14" s="15">
        <f>Cost_Model!F14</f>
        <v>48763.50806086669</v>
      </c>
      <c r="D14" s="15">
        <f t="shared" si="0"/>
        <v>20448.185475355596</v>
      </c>
      <c r="E14" s="15">
        <f t="shared" si="1"/>
        <v>660721.03465387516</v>
      </c>
    </row>
    <row r="15" spans="1:5">
      <c r="A15">
        <v>13</v>
      </c>
      <c r="B15" s="15">
        <f>Revenue_Model!C15</f>
        <v>71288.044342308945</v>
      </c>
      <c r="C15" s="15">
        <f>Cost_Model!F15</f>
        <v>49386.413302692687</v>
      </c>
      <c r="D15" s="15">
        <f t="shared" si="0"/>
        <v>21901.631039616259</v>
      </c>
      <c r="E15" s="15">
        <f t="shared" si="1"/>
        <v>682622.66569349146</v>
      </c>
    </row>
    <row r="16" spans="1:5">
      <c r="A16">
        <v>14</v>
      </c>
      <c r="B16" s="15">
        <f>Revenue_Model!C16</f>
        <v>73426.685672578213</v>
      </c>
      <c r="C16" s="15">
        <f>Cost_Model!F16</f>
        <v>50028.005701773465</v>
      </c>
      <c r="D16" s="15">
        <f t="shared" si="0"/>
        <v>23398.679970804747</v>
      </c>
      <c r="E16" s="15">
        <f t="shared" si="1"/>
        <v>706021.34566429618</v>
      </c>
    </row>
    <row r="17" spans="1:5">
      <c r="A17">
        <v>15</v>
      </c>
      <c r="B17" s="15">
        <f>Revenue_Model!C17</f>
        <v>75629.486242755564</v>
      </c>
      <c r="C17" s="15">
        <f>Cost_Model!F17</f>
        <v>50688.845872826671</v>
      </c>
      <c r="D17" s="15">
        <f t="shared" si="0"/>
        <v>24940.640369928893</v>
      </c>
      <c r="E17" s="15">
        <f t="shared" si="1"/>
        <v>730961.98603422509</v>
      </c>
    </row>
    <row r="18" spans="1:5">
      <c r="A18">
        <v>16</v>
      </c>
      <c r="B18" s="15">
        <f>Revenue_Model!C18</f>
        <v>77898.370830038213</v>
      </c>
      <c r="C18" s="15">
        <f>Cost_Model!F18</f>
        <v>51369.51124901147</v>
      </c>
      <c r="D18" s="15">
        <f t="shared" si="0"/>
        <v>26528.859581026743</v>
      </c>
      <c r="E18" s="15">
        <f t="shared" si="1"/>
        <v>757490.8456152518</v>
      </c>
    </row>
    <row r="19" spans="1:5">
      <c r="A19">
        <v>17</v>
      </c>
      <c r="B19" s="15">
        <f>Revenue_Model!C19</f>
        <v>80235.321954939369</v>
      </c>
      <c r="C19" s="15">
        <f>Cost_Model!F19</f>
        <v>52070.596586481814</v>
      </c>
      <c r="D19" s="15">
        <f t="shared" si="0"/>
        <v>28164.725368457555</v>
      </c>
      <c r="E19" s="15">
        <f t="shared" si="1"/>
        <v>785655.5709837093</v>
      </c>
    </row>
    <row r="20" spans="1:5">
      <c r="A20">
        <v>18</v>
      </c>
      <c r="B20" s="15">
        <f>Revenue_Model!C20</f>
        <v>82642.381613587539</v>
      </c>
      <c r="C20" s="15">
        <f>Cost_Model!F20</f>
        <v>52792.714484076263</v>
      </c>
      <c r="D20" s="15">
        <f t="shared" si="0"/>
        <v>29849.667129511276</v>
      </c>
      <c r="E20" s="15">
        <f t="shared" si="1"/>
        <v>815505.23811322055</v>
      </c>
    </row>
    <row r="21" spans="1:5">
      <c r="A21">
        <v>19</v>
      </c>
      <c r="B21" s="15">
        <f>Revenue_Model!C21</f>
        <v>85121.653061995166</v>
      </c>
      <c r="C21" s="15">
        <f>Cost_Model!F21</f>
        <v>53536.49591859855</v>
      </c>
      <c r="D21" s="15">
        <f t="shared" si="0"/>
        <v>31585.157143396616</v>
      </c>
      <c r="E21" s="15">
        <f t="shared" si="1"/>
        <v>847090.39525661711</v>
      </c>
    </row>
    <row r="22" spans="1:5">
      <c r="A22">
        <v>20</v>
      </c>
      <c r="B22" s="15">
        <f>Revenue_Model!C22</f>
        <v>87675.302653855018</v>
      </c>
      <c r="C22" s="15">
        <f>Cost_Model!F22</f>
        <v>54302.590796156503</v>
      </c>
      <c r="D22" s="15">
        <f t="shared" si="0"/>
        <v>33372.711857698516</v>
      </c>
      <c r="E22" s="15">
        <f t="shared" si="1"/>
        <v>880463.10711431562</v>
      </c>
    </row>
    <row r="23" spans="1:5">
      <c r="A23">
        <v>21</v>
      </c>
      <c r="B23" s="15">
        <f>Revenue_Model!C23</f>
        <v>90305.561733470648</v>
      </c>
      <c r="C23" s="15">
        <f>Cost_Model!F23</f>
        <v>55091.668520041196</v>
      </c>
      <c r="D23" s="15">
        <f t="shared" si="0"/>
        <v>35213.893213429452</v>
      </c>
      <c r="E23" s="15">
        <f t="shared" si="1"/>
        <v>915677.0003277451</v>
      </c>
    </row>
    <row r="24" spans="1:5">
      <c r="A24">
        <v>22</v>
      </c>
      <c r="B24" s="15">
        <f>Revenue_Model!C24</f>
        <v>93014.728585474775</v>
      </c>
      <c r="C24" s="15">
        <f>Cost_Model!F24</f>
        <v>55904.418575642427</v>
      </c>
      <c r="D24" s="15">
        <f t="shared" si="0"/>
        <v>37110.310009832348</v>
      </c>
      <c r="E24" s="15">
        <f t="shared" si="1"/>
        <v>952787.31033757748</v>
      </c>
    </row>
    <row r="25" spans="1:5">
      <c r="A25">
        <v>23</v>
      </c>
      <c r="B25" s="15">
        <f>Revenue_Model!C25</f>
        <v>95805.170443039009</v>
      </c>
      <c r="C25" s="15">
        <f>Cost_Model!F25</f>
        <v>56741.5511329117</v>
      </c>
      <c r="D25" s="15">
        <f t="shared" si="0"/>
        <v>39063.619310127309</v>
      </c>
      <c r="E25" s="15">
        <f t="shared" si="1"/>
        <v>991850.92964770482</v>
      </c>
    </row>
    <row r="26" spans="1:5">
      <c r="A26">
        <v>24</v>
      </c>
      <c r="B26" s="15">
        <f>Revenue_Model!C26</f>
        <v>98679.325556330165</v>
      </c>
      <c r="C26" s="15">
        <f>Cost_Model!F26</f>
        <v>57603.797666899052</v>
      </c>
      <c r="D26" s="15">
        <f t="shared" si="0"/>
        <v>41075.527889431112</v>
      </c>
      <c r="E26" s="15">
        <f t="shared" si="1"/>
        <v>1032926.4575371359</v>
      </c>
    </row>
    <row r="27" spans="1:5">
      <c r="A27">
        <v>25</v>
      </c>
      <c r="B27" s="15">
        <f>Revenue_Model!C27</f>
        <v>101639.70532302007</v>
      </c>
      <c r="C27" s="15">
        <f>Cost_Model!F27</f>
        <v>58491.911596906022</v>
      </c>
      <c r="D27" s="15">
        <f t="shared" si="0"/>
        <v>43147.793726114047</v>
      </c>
      <c r="E27" s="15">
        <f t="shared" si="1"/>
        <v>1076074.2512632499</v>
      </c>
    </row>
    <row r="28" spans="1:5">
      <c r="A28">
        <v>26</v>
      </c>
      <c r="B28" s="15">
        <f>Revenue_Model!C28</f>
        <v>104688.89648271065</v>
      </c>
      <c r="C28" s="15">
        <f>Cost_Model!F28</f>
        <v>59406.668944813195</v>
      </c>
      <c r="D28" s="15">
        <f t="shared" si="0"/>
        <v>45282.227537897459</v>
      </c>
      <c r="E28" s="15">
        <f t="shared" si="1"/>
        <v>1121356.4788011473</v>
      </c>
    </row>
    <row r="29" spans="1:5">
      <c r="A29">
        <v>27</v>
      </c>
      <c r="B29" s="15">
        <f>Revenue_Model!C29</f>
        <v>107829.56337719198</v>
      </c>
      <c r="C29" s="15">
        <f>Cost_Model!F29</f>
        <v>60348.8690131576</v>
      </c>
      <c r="D29" s="15">
        <f t="shared" si="0"/>
        <v>47480.694364034382</v>
      </c>
      <c r="E29" s="15">
        <f t="shared" si="1"/>
        <v>1168837.1731651817</v>
      </c>
    </row>
    <row r="30" spans="1:5">
      <c r="A30">
        <v>28</v>
      </c>
      <c r="B30" s="15">
        <f>Revenue_Model!C30</f>
        <v>111064.45027850775</v>
      </c>
      <c r="C30" s="15">
        <f>Cost_Model!F30</f>
        <v>61319.335083552323</v>
      </c>
      <c r="D30" s="15">
        <f t="shared" si="0"/>
        <v>49745.115194955426</v>
      </c>
      <c r="E30" s="15">
        <f t="shared" si="1"/>
        <v>1218582.288360137</v>
      </c>
    </row>
    <row r="31" spans="1:5">
      <c r="A31">
        <v>29</v>
      </c>
      <c r="B31" s="15">
        <f>Revenue_Model!C31</f>
        <v>114396.38378686298</v>
      </c>
      <c r="C31" s="15">
        <f>Cost_Model!F31</f>
        <v>62318.915136058895</v>
      </c>
      <c r="D31" s="15">
        <f t="shared" si="0"/>
        <v>52077.468650804083</v>
      </c>
      <c r="E31" s="15">
        <f t="shared" si="1"/>
        <v>1270659.7570109412</v>
      </c>
    </row>
    <row r="32" spans="1:5">
      <c r="A32">
        <v>30</v>
      </c>
      <c r="B32" s="15">
        <f>Revenue_Model!C32</f>
        <v>117828.27530046887</v>
      </c>
      <c r="C32" s="15">
        <f>Cost_Model!F32</f>
        <v>63348.482590140666</v>
      </c>
      <c r="D32" s="15">
        <f t="shared" si="0"/>
        <v>54479.792710328205</v>
      </c>
      <c r="E32" s="15">
        <f t="shared" si="1"/>
        <v>1325139.5497212694</v>
      </c>
    </row>
    <row r="33" spans="1:5">
      <c r="A33">
        <v>31</v>
      </c>
      <c r="B33" s="15">
        <f>Revenue_Model!C33</f>
        <v>121363.12355948295</v>
      </c>
      <c r="C33" s="15">
        <f>Cost_Model!F33</f>
        <v>64408.937067844883</v>
      </c>
      <c r="D33" s="15">
        <f t="shared" si="0"/>
        <v>56954.186491638065</v>
      </c>
      <c r="E33" s="15">
        <f t="shared" si="1"/>
        <v>1382093.7362129074</v>
      </c>
    </row>
    <row r="34" spans="1:5">
      <c r="A34">
        <v>32</v>
      </c>
      <c r="B34" s="15">
        <f>Revenue_Model!C34</f>
        <v>125004.01726626743</v>
      </c>
      <c r="C34" s="15">
        <f>Cost_Model!F34</f>
        <v>65501.205179880228</v>
      </c>
      <c r="D34" s="15">
        <f t="shared" si="0"/>
        <v>59502.812086387203</v>
      </c>
      <c r="E34" s="15">
        <f t="shared" si="1"/>
        <v>1441596.5482992947</v>
      </c>
    </row>
    <row r="35" spans="1:5">
      <c r="A35">
        <v>33</v>
      </c>
      <c r="B35" s="15">
        <f>Revenue_Model!C35</f>
        <v>128754.13778425545</v>
      </c>
      <c r="C35" s="15">
        <f>Cost_Model!F35</f>
        <v>66626.241335276631</v>
      </c>
      <c r="D35" s="15">
        <f t="shared" si="0"/>
        <v>62127.89644897882</v>
      </c>
      <c r="E35" s="15">
        <f t="shared" si="1"/>
        <v>1503724.4447482736</v>
      </c>
    </row>
    <row r="36" spans="1:5">
      <c r="A36">
        <v>34</v>
      </c>
      <c r="B36" s="15">
        <f>Revenue_Model!C36</f>
        <v>132616.76191778309</v>
      </c>
      <c r="C36" s="15">
        <f>Cost_Model!F36</f>
        <v>67785.028575334931</v>
      </c>
      <c r="D36" s="15">
        <f t="shared" si="0"/>
        <v>64831.733342448162</v>
      </c>
      <c r="E36" s="15">
        <f t="shared" si="1"/>
        <v>1568556.1780907218</v>
      </c>
    </row>
    <row r="37" spans="1:5">
      <c r="A37">
        <v>35</v>
      </c>
      <c r="B37" s="15">
        <f>Revenue_Model!C37</f>
        <v>136595.26477531658</v>
      </c>
      <c r="C37" s="15">
        <f>Cost_Model!F37</f>
        <v>68978.579432594968</v>
      </c>
      <c r="D37" s="15">
        <f t="shared" si="0"/>
        <v>67616.685342721612</v>
      </c>
      <c r="E37" s="15">
        <f t="shared" si="1"/>
        <v>1636172.8634334435</v>
      </c>
    </row>
    <row r="38" spans="1:5">
      <c r="A38">
        <v>36</v>
      </c>
      <c r="B38" s="15">
        <f>Revenue_Model!C38</f>
        <v>140693.12271857608</v>
      </c>
      <c r="C38" s="15">
        <f>Cost_Model!F38</f>
        <v>70207.93681557283</v>
      </c>
      <c r="D38" s="15">
        <f t="shared" si="0"/>
        <v>70485.18590300325</v>
      </c>
      <c r="E38" s="15">
        <f t="shared" si="1"/>
        <v>1706658.0493364467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EEFA2-570A-4634-872F-501C3F836489}">
  <dimension ref="A1:F8"/>
  <sheetViews>
    <sheetView tabSelected="1" zoomScale="94" zoomScaleNormal="175" workbookViewId="0">
      <selection activeCell="C16" sqref="C16"/>
    </sheetView>
  </sheetViews>
  <sheetFormatPr defaultRowHeight="14.4"/>
  <cols>
    <col min="1" max="1" width="12.6640625" customWidth="1"/>
    <col min="2" max="2" width="19.5546875" customWidth="1"/>
    <col min="4" max="4" width="12.5546875" customWidth="1"/>
    <col min="5" max="5" width="18.21875" customWidth="1"/>
    <col min="6" max="6" width="20.77734375" customWidth="1"/>
  </cols>
  <sheetData>
    <row r="1" spans="1:6">
      <c r="A1" s="10" t="s">
        <v>46</v>
      </c>
      <c r="B1" t="s">
        <v>47</v>
      </c>
      <c r="D1" t="s">
        <v>48</v>
      </c>
      <c r="E1" t="s">
        <v>47</v>
      </c>
      <c r="F1" s="10"/>
    </row>
    <row r="2" spans="1:6">
      <c r="A2" s="3">
        <v>400</v>
      </c>
      <c r="B2" s="41">
        <f>(A2-Assumptions!$B$9)*(Assumptions!$B$3*(1+Assumptions!$B$5)^35)*(1-Assumptions!$B$15)-(Assumptions!$B$11+Assumptions!$B$13)*(1-Assumptions!$B$15)</f>
        <v>123114.12735585656</v>
      </c>
      <c r="D2" s="43">
        <v>0.03</v>
      </c>
      <c r="E2" s="41">
        <f>(Assumptions!$B$7-Assumptions!$B$9)*(Assumptions!$B$3*(1+D2)^35)*(1-Assumptions!$B$15)-(Assumptions!$B$11+Assumptions!$B$13)*(1-Assumptions!$B$15)</f>
        <v>52863.889427252463</v>
      </c>
      <c r="F2" s="2"/>
    </row>
    <row r="3" spans="1:6">
      <c r="A3" s="3">
        <v>450</v>
      </c>
      <c r="B3" s="41">
        <f>(A3-Assumptions!$B$9)*(Assumptions!$B$3*(1+Assumptions!$B$5)^35)*(1-Assumptions!$B$15)-(Assumptions!$B$11+Assumptions!$B$13)*(1-Assumptions!$B$15)</f>
        <v>151936.95282702788</v>
      </c>
      <c r="D3" s="44">
        <v>0.05</v>
      </c>
      <c r="E3" s="41">
        <f>(Assumptions!$B$7-Assumptions!$B$9)*(Assumptions!$B$3*(1+D3)^35)*(1-Assumptions!$B$15)-(Assumptions!$B$11+Assumptions!$B$13)*(1-Assumptions!$B$15)</f>
        <v>123795.4033992966</v>
      </c>
      <c r="F3" s="2"/>
    </row>
    <row r="4" spans="1:6">
      <c r="A4" s="3">
        <v>500</v>
      </c>
      <c r="B4" s="41">
        <f>(A4-Assumptions!$B$9)*(Assumptions!$B$3*(1+Assumptions!$B$5)^35)*(1-Assumptions!$B$15)-(Assumptions!$B$11+Assumptions!$B$13)*(1-Assumptions!$B$15)</f>
        <v>180759.77829819918</v>
      </c>
      <c r="D4" s="44">
        <v>0.06</v>
      </c>
      <c r="E4" s="41">
        <f>(Assumptions!$B$7-Assumptions!$B$9)*(Assumptions!$B$3*(1+D4)^35)*(1-Assumptions!$B$15)-(Assumptions!$B$11+Assumptions!$B$13)*(1-Assumptions!$B$15)</f>
        <v>180759.77829819918</v>
      </c>
      <c r="F4" s="2"/>
    </row>
    <row r="5" spans="1:6">
      <c r="A5" s="3">
        <v>550</v>
      </c>
      <c r="B5" s="41">
        <f>(A5-Assumptions!$B$9)*(Assumptions!$B$3*(1+Assumptions!$B$5)^35)*(1-Assumptions!$B$15)-(Assumptions!$B$11+Assumptions!$B$13)*(1-Assumptions!$B$15)</f>
        <v>209582.6037693705</v>
      </c>
      <c r="D5" s="44">
        <v>0.08</v>
      </c>
      <c r="E5" s="41">
        <f>(Assumptions!$B$7-Assumptions!$B$9)*(Assumptions!$B$3*(1+D5)^35)*(1-Assumptions!$B$15)-(Assumptions!$B$11+Assumptions!$B$13)*(1-Assumptions!$B$15)</f>
        <v>367115.28772591468</v>
      </c>
      <c r="F5" s="2"/>
    </row>
    <row r="6" spans="1:6">
      <c r="A6" s="3">
        <v>600</v>
      </c>
      <c r="B6" s="41">
        <f>(A6-Assumptions!$B$9)*(Assumptions!$B$3*(1+Assumptions!$B$5)^35)*(1-Assumptions!$B$15)-(Assumptions!$B$11+Assumptions!$B$13)*(1-Assumptions!$B$15)</f>
        <v>238405.42924054182</v>
      </c>
      <c r="D6" s="44">
        <v>0.1</v>
      </c>
      <c r="E6" s="41">
        <f>(Assumptions!$B$7-Assumptions!$B$9)*(Assumptions!$B$3*(1+D6)^35)*(1-Assumptions!$B$15)-(Assumptions!$B$11+Assumptions!$B$13)*(1-Assumptions!$B$15)</f>
        <v>716688.96726168832</v>
      </c>
      <c r="F6" s="2"/>
    </row>
    <row r="7" spans="1:6">
      <c r="A7" s="3">
        <v>650</v>
      </c>
      <c r="B7" s="41">
        <f>(A7-Assumptions!$B$9)*(Assumptions!$B$3*(1+Assumptions!$B$5)^35)*(1-Assumptions!$B$15)-(Assumptions!$B$11+Assumptions!$B$13)*(1-Assumptions!$B$15)</f>
        <v>267228.25471171312</v>
      </c>
      <c r="D7" s="44">
        <v>0.12</v>
      </c>
      <c r="E7" s="41">
        <f>(Assumptions!$B$7-Assumptions!$B$9)*(Assumptions!$B$3*(1+D7)^35)*(1-Assumptions!$B$15)-(Assumptions!$B$11+Assumptions!$B$13)*(1-Assumptions!$B$15)</f>
        <v>1364990.013951571</v>
      </c>
    </row>
    <row r="8" spans="1:6">
      <c r="A8" s="3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3DA0C-613D-4C4F-95D1-0C9933B0E8A6}">
  <dimension ref="A1:G6"/>
  <sheetViews>
    <sheetView zoomScale="70" zoomScaleNormal="70" workbookViewId="0">
      <selection activeCell="B3" sqref="B3"/>
    </sheetView>
  </sheetViews>
  <sheetFormatPr defaultRowHeight="14.4"/>
  <cols>
    <col min="1" max="1" width="22" customWidth="1"/>
    <col min="2" max="2" width="23.21875" customWidth="1"/>
    <col min="6" max="6" width="19.77734375" customWidth="1"/>
    <col min="7" max="7" width="17.33203125" customWidth="1"/>
  </cols>
  <sheetData>
    <row r="1" spans="1:7">
      <c r="A1" s="50" t="s">
        <v>58</v>
      </c>
      <c r="B1" s="50"/>
    </row>
    <row r="2" spans="1:7">
      <c r="A2" s="34" t="s">
        <v>33</v>
      </c>
      <c r="B2" s="32" t="s">
        <v>1</v>
      </c>
      <c r="F2" s="46" t="s">
        <v>52</v>
      </c>
      <c r="G2" s="47"/>
    </row>
    <row r="3" spans="1:7">
      <c r="A3" s="35" t="s">
        <v>49</v>
      </c>
      <c r="B3" s="39">
        <f>SUM(Revenue_Model!C2:C37)</f>
        <v>3023104.090619205</v>
      </c>
      <c r="F3" s="37" t="s">
        <v>53</v>
      </c>
      <c r="G3" s="38" t="s">
        <v>54</v>
      </c>
    </row>
    <row r="4" spans="1:7">
      <c r="A4" s="35" t="s">
        <v>50</v>
      </c>
      <c r="B4" s="39">
        <f>SUM(Profit_Loss!F2:F37)</f>
        <v>852129.64757508272</v>
      </c>
      <c r="F4" s="36" t="s">
        <v>55</v>
      </c>
      <c r="G4" s="23" t="s">
        <v>56</v>
      </c>
    </row>
    <row r="5" spans="1:7">
      <c r="A5" s="35" t="s">
        <v>51</v>
      </c>
      <c r="B5" s="33">
        <f>Customer_Model!E38</f>
        <v>289.82783280026672</v>
      </c>
      <c r="F5" s="48" t="s">
        <v>57</v>
      </c>
      <c r="G5" s="49"/>
    </row>
    <row r="6" spans="1:7">
      <c r="A6" s="36" t="s">
        <v>45</v>
      </c>
      <c r="B6" s="40">
        <f>Cash_Flow!E38</f>
        <v>1706658.0493364467</v>
      </c>
    </row>
  </sheetData>
  <mergeCells count="3">
    <mergeCell ref="F2:G2"/>
    <mergeCell ref="F5:G5"/>
    <mergeCell ref="A1:B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Assumptions</vt:lpstr>
      <vt:lpstr>Customer_Model</vt:lpstr>
      <vt:lpstr>Revenue_Model</vt:lpstr>
      <vt:lpstr>Cost_Model</vt:lpstr>
      <vt:lpstr>Model_Calculations</vt:lpstr>
      <vt:lpstr>Unit_Economics</vt:lpstr>
      <vt:lpstr>Profit_Loss</vt:lpstr>
      <vt:lpstr>Cash_Flow</vt:lpstr>
      <vt:lpstr>Sensitivity_Analysis</vt:lpstr>
      <vt:lpstr>Dashboard</vt:lpstr>
      <vt:lpstr>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 Singh</dc:creator>
  <cp:lastModifiedBy>Abhay Singh</cp:lastModifiedBy>
  <dcterms:created xsi:type="dcterms:W3CDTF">2026-03-05T13:42:16Z</dcterms:created>
  <dcterms:modified xsi:type="dcterms:W3CDTF">2026-03-09T09:04:19Z</dcterms:modified>
</cp:coreProperties>
</file>